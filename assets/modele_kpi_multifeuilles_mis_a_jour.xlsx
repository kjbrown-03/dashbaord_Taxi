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er" sheetId="1" r:id="rId1"/>
    <sheet name="Operationnel" sheetId="2" r:id="rId2"/>
    <sheet name="Social" sheetId="3" r:id="rId3"/>
    <sheet name="Fintech" sheetId="4" r:id="rId4"/>
    <sheet name="Discipline" sheetId="5" r:id="rId5"/>
    <sheet name="KPI Hebdo" sheetId="6" r:id="rId6"/>
    <sheet name="Rapport Voitures" sheetId="7" r:id="rId7"/>
    <sheet name="Bénéficiaires" sheetId="8" r:id="rId8"/>
  </sheets>
  <calcPr calcId="124519" fullCalcOnLoad="1"/>
</workbook>
</file>

<file path=xl/sharedStrings.xml><?xml version="1.0" encoding="utf-8"?>
<sst xmlns="http://schemas.openxmlformats.org/spreadsheetml/2006/main" count="61" uniqueCount="46">
  <si>
    <t>FINANCIER - Donnees de remboursement</t>
  </si>
  <si>
    <t>🔵 Colonnes BLEUES = données à saisir    🟢 Colonnes VERTES = calculées automatiquement (ne pas modifier)</t>
  </si>
  <si>
    <t>date</t>
  </si>
  <si>
    <t>Montant total attendu (FCFA)</t>
  </si>
  <si>
    <t>Total collecté (FCFA)</t>
  </si>
  <si>
    <t>Nombre de bénéficiaires</t>
  </si>
  <si>
    <t>Taux de versement
(reçu / attendu)
[AUTO]</t>
  </si>
  <si>
    <t>Montant moyen / bénéf.
(FCFA)
[AUTO]</t>
  </si>
  <si>
    <t>OPERATIONNEL - Activite des voitures</t>
  </si>
  <si>
    <t>Voitures actives (nb)</t>
  </si>
  <si>
    <t>Total voitures (nb)</t>
  </si>
  <si>
    <t>Voitures en panne (nb)</t>
  </si>
  <si>
    <t>Voitures actives
(nombre)
[AUTO]</t>
  </si>
  <si>
    <t>Taux de voitures en panne
(panne / total)
[AUTO]</t>
  </si>
  <si>
    <t>SOCIAL - Impact social du programme</t>
  </si>
  <si>
    <t>Bénéficiaires actifs (nb)</t>
  </si>
  <si>
    <t>Bénéficiaires initial (nb)</t>
  </si>
  <si>
    <t>Revenus après projet (FCFA)</t>
  </si>
  <si>
    <t>Nombre bénéficiaires (nb)</t>
  </si>
  <si>
    <t>Taux de maintien
(actifs / initial)
[AUTO]</t>
  </si>
  <si>
    <t>Revenu moyen réel
(rev. après / bénéf.)
[AUTO]</t>
  </si>
  <si>
    <t>FINTECH - Yunus Pay &amp; transactions digitales</t>
  </si>
  <si>
    <t>Nombre de transactions (nb)</t>
  </si>
  <si>
    <t>Utilisateurs actifs (nb)</t>
  </si>
  <si>
    <t>DISCIPLINE - Score de discipline des beneficiaires</t>
  </si>
  <si>
    <t>Paiements à temps (nb)</t>
  </si>
  <si>
    <t>Paiements attendus (nb)</t>
  </si>
  <si>
    <t>Jours actifs (nb)</t>
  </si>
  <si>
    <t>Jours totaux (nb)</t>
  </si>
  <si>
    <t>Score discipline moyen
(40% pmt + 30% act. + 20% entr.)
[AUTO]</t>
  </si>
  <si>
    <t>KPI HEBDO - Indicateurs hebdomadaires essentiels</t>
  </si>
  <si>
    <t>Semaine (lundi)</t>
  </si>
  <si>
    <t>Total collecté semaine (FCFA)</t>
  </si>
  <si>
    <t>Montant attendu semaine (FCFA)</t>
  </si>
  <si>
    <t>Versement hebdomadaire
(reçu / attendu)
[AUTO]</t>
  </si>
  <si>
    <t>RAPPORT VOITURES - Versements par voiture</t>
  </si>
  <si>
    <t>Une ligne par voiture et par date. Exemple voiture_id: VOITURE-1002.</t>
  </si>
  <si>
    <t>voiture_id</t>
  </si>
  <si>
    <t>versement_attendu</t>
  </si>
  <si>
    <t>versement_recu</t>
  </si>
  <si>
    <t>BÉNÉFICIAIRES - Répertoire des bénéficiaires</t>
  </si>
  <si>
    <t>Nom</t>
  </si>
  <si>
    <t>Téléphone</t>
  </si>
  <si>
    <t>Voiture</t>
  </si>
  <si>
    <t>Zone/Quartier</t>
  </si>
  <si>
    <t>Date_Integration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</si>
</sst>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0.00%"/>
  </numFmts>
  <fonts count="6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663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F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164" fontId="0" fillId="6" borderId="1" xfId="0" applyNumberFormat="1" applyFill="1" applyBorder="1"/>
    <xf numFmtId="165" fontId="0" fillId="6" borderId="1" xfId="0" applyNumberFormat="1" applyFill="1" applyBorder="1"/>
    <xf numFmtId="166" fontId="5" fillId="7" borderId="1" xfId="0" applyNumberFormat="1" applyFont="1" applyFill="1" applyBorder="1"/>
    <xf numFmtId="165" fontId="5" fillId="7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14.7109375" customWidth="1"/>
    <col min="2" max="3" width="22.7109375" customWidth="1"/>
    <col min="4" max="4" width="20.7109375" customWidth="1"/>
    <col min="5" max="6" width="22.7109375" customWidth="1"/>
  </cols>
  <sheetData>
    <row r="1" spans="1:6" ht="22" customHeight="1">
      <c r="A1" s="1" t="s">
        <v>0</v>
      </c>
      <c r="B1" s="1"/>
      <c r="C1" s="1"/>
      <c r="D1" s="1"/>
      <c r="E1" s="1"/>
      <c r="F1" s="1"/>
    </row>
    <row r="2" spans="1:6" ht="30" customHeight="1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</row>
    <row r="4" spans="1:6">
      <c r="A4" s="5">
        <v>45383</v>
      </c>
      <c r="B4" s="6"/>
      <c r="C4" s="6"/>
      <c r="D4" s="6"/>
      <c r="E4" s="7">
        <f>IF(B4=0,0,C4/B4)</f>
        <v>0</v>
      </c>
      <c r="F4" s="8">
        <f>IF(D4=0,0,C4/D4)</f>
        <v>0</v>
      </c>
    </row>
    <row r="5" spans="1:6">
      <c r="A5" s="5">
        <v>45384</v>
      </c>
      <c r="B5" s="6"/>
      <c r="C5" s="6"/>
      <c r="D5" s="6"/>
      <c r="E5" s="7">
        <f>IF(B5=0,0,C5/B5)</f>
        <v>0</v>
      </c>
      <c r="F5" s="8">
        <f>IF(D5=0,0,C5/D5)</f>
        <v>0</v>
      </c>
    </row>
    <row r="6" spans="1:6">
      <c r="A6" s="5">
        <v>45385</v>
      </c>
      <c r="B6" s="6"/>
      <c r="C6" s="6"/>
      <c r="D6" s="6"/>
      <c r="E6" s="7">
        <f>IF(B6=0,0,C6/B6)</f>
        <v>0</v>
      </c>
      <c r="F6" s="8">
        <f>IF(D6=0,0,C6/D6)</f>
        <v>0</v>
      </c>
    </row>
    <row r="7" spans="1:6">
      <c r="A7" s="5">
        <v>45386</v>
      </c>
      <c r="B7" s="6"/>
      <c r="C7" s="6"/>
      <c r="D7" s="6"/>
      <c r="E7" s="7">
        <f>IF(B7=0,0,C7/B7)</f>
        <v>0</v>
      </c>
      <c r="F7" s="8">
        <f>IF(D7=0,0,C7/D7)</f>
        <v>0</v>
      </c>
    </row>
    <row r="8" spans="1:6">
      <c r="A8" s="5">
        <v>45387</v>
      </c>
      <c r="B8" s="6"/>
      <c r="C8" s="6"/>
      <c r="D8" s="6"/>
      <c r="E8" s="7">
        <f>IF(B8=0,0,C8/B8)</f>
        <v>0</v>
      </c>
      <c r="F8" s="8">
        <f>IF(D8=0,0,C8/D8)</f>
        <v>0</v>
      </c>
    </row>
    <row r="9" spans="1:6">
      <c r="A9" s="5">
        <v>45388</v>
      </c>
      <c r="B9" s="6"/>
      <c r="C9" s="6"/>
      <c r="D9" s="6"/>
      <c r="E9" s="7">
        <f>IF(B9=0,0,C9/B9)</f>
        <v>0</v>
      </c>
      <c r="F9" s="8">
        <f>IF(D9=0,0,C9/D9)</f>
        <v>0</v>
      </c>
    </row>
    <row r="10" spans="1:6">
      <c r="A10" s="5">
        <v>45389</v>
      </c>
      <c r="B10" s="6"/>
      <c r="C10" s="6"/>
      <c r="D10" s="6"/>
      <c r="E10" s="7">
        <f>IF(B10=0,0,C10/B10)</f>
        <v>0</v>
      </c>
      <c r="F10" s="8">
        <f>IF(D10=0,0,C10/D10)</f>
        <v>0</v>
      </c>
    </row>
    <row r="11" spans="1:6">
      <c r="A11" s="5">
        <v>45390</v>
      </c>
      <c r="B11" s="6"/>
      <c r="C11" s="6"/>
      <c r="D11" s="6"/>
      <c r="E11" s="7">
        <f>IF(B11=0,0,C11/B11)</f>
        <v>0</v>
      </c>
      <c r="F11" s="8">
        <f>IF(D11=0,0,C11/D11)</f>
        <v>0</v>
      </c>
    </row>
    <row r="12" spans="1:6">
      <c r="A12" s="5">
        <v>45391</v>
      </c>
      <c r="B12" s="6"/>
      <c r="C12" s="6"/>
      <c r="D12" s="6"/>
      <c r="E12" s="7">
        <f>IF(B12=0,0,C12/B12)</f>
        <v>0</v>
      </c>
      <c r="F12" s="8">
        <f>IF(D12=0,0,C12/D12)</f>
        <v>0</v>
      </c>
    </row>
    <row r="13" spans="1:6">
      <c r="A13" s="5">
        <v>45392</v>
      </c>
      <c r="B13" s="6"/>
      <c r="C13" s="6"/>
      <c r="D13" s="6"/>
      <c r="E13" s="7">
        <f>IF(B13=0,0,C13/B13)</f>
        <v>0</v>
      </c>
      <c r="F13" s="8">
        <f>IF(D13=0,0,C13/D13)</f>
        <v>0</v>
      </c>
    </row>
    <row r="14" spans="1:6">
      <c r="A14" s="5">
        <v>45393</v>
      </c>
      <c r="B14" s="6"/>
      <c r="C14" s="6"/>
      <c r="D14" s="6"/>
      <c r="E14" s="7">
        <f>IF(B14=0,0,C14/B14)</f>
        <v>0</v>
      </c>
      <c r="F14" s="8">
        <f>IF(D14=0,0,C14/D14)</f>
        <v>0</v>
      </c>
    </row>
    <row r="15" spans="1:6">
      <c r="A15" s="5">
        <v>45394</v>
      </c>
      <c r="B15" s="6"/>
      <c r="C15" s="6"/>
      <c r="D15" s="6"/>
      <c r="E15" s="7">
        <f>IF(B15=0,0,C15/B15)</f>
        <v>0</v>
      </c>
      <c r="F15" s="8">
        <f>IF(D15=0,0,C15/D15)</f>
        <v>0</v>
      </c>
    </row>
    <row r="16" spans="1:6">
      <c r="A16" s="5">
        <v>45395</v>
      </c>
      <c r="B16" s="6"/>
      <c r="C16" s="6"/>
      <c r="D16" s="6"/>
      <c r="E16" s="7">
        <f>IF(B16=0,0,C16/B16)</f>
        <v>0</v>
      </c>
      <c r="F16" s="8">
        <f>IF(D16=0,0,C16/D16)</f>
        <v>0</v>
      </c>
    </row>
    <row r="17" spans="1:6">
      <c r="A17" s="5">
        <v>45396</v>
      </c>
      <c r="B17" s="6"/>
      <c r="C17" s="6"/>
      <c r="D17" s="6"/>
      <c r="E17" s="7">
        <f>IF(B17=0,0,C17/B17)</f>
        <v>0</v>
      </c>
      <c r="F17" s="8">
        <f>IF(D17=0,0,C17/D17)</f>
        <v>0</v>
      </c>
    </row>
    <row r="18" spans="1:6">
      <c r="A18" s="5">
        <v>45397</v>
      </c>
      <c r="B18" s="6"/>
      <c r="C18" s="6"/>
      <c r="D18" s="6"/>
      <c r="E18" s="7">
        <f>IF(B18=0,0,C18/B18)</f>
        <v>0</v>
      </c>
      <c r="F18" s="8">
        <f>IF(D18=0,0,C18/D18)</f>
        <v>0</v>
      </c>
    </row>
    <row r="19" spans="1:6">
      <c r="A19" s="5">
        <v>45398</v>
      </c>
      <c r="B19" s="6"/>
      <c r="C19" s="6"/>
      <c r="D19" s="6"/>
      <c r="E19" s="7">
        <f>IF(B19=0,0,C19/B19)</f>
        <v>0</v>
      </c>
      <c r="F19" s="8">
        <f>IF(D19=0,0,C19/D19)</f>
        <v>0</v>
      </c>
    </row>
    <row r="20" spans="1:6">
      <c r="A20" s="5">
        <v>45399</v>
      </c>
      <c r="B20" s="6"/>
      <c r="C20" s="6"/>
      <c r="D20" s="6"/>
      <c r="E20" s="7">
        <f>IF(B20=0,0,C20/B20)</f>
        <v>0</v>
      </c>
      <c r="F20" s="8">
        <f>IF(D20=0,0,C20/D20)</f>
        <v>0</v>
      </c>
    </row>
    <row r="21" spans="1:6">
      <c r="A21" s="5">
        <v>45400</v>
      </c>
      <c r="B21" s="6"/>
      <c r="C21" s="6"/>
      <c r="D21" s="6"/>
      <c r="E21" s="7">
        <f>IF(B21=0,0,C21/B21)</f>
        <v>0</v>
      </c>
      <c r="F21" s="8">
        <f>IF(D21=0,0,C21/D21)</f>
        <v>0</v>
      </c>
    </row>
    <row r="22" spans="1:6">
      <c r="A22" s="5">
        <v>45401</v>
      </c>
      <c r="B22" s="6"/>
      <c r="C22" s="6"/>
      <c r="D22" s="6"/>
      <c r="E22" s="7">
        <f>IF(B22=0,0,C22/B22)</f>
        <v>0</v>
      </c>
      <c r="F22" s="8">
        <f>IF(D22=0,0,C22/D22)</f>
        <v>0</v>
      </c>
    </row>
    <row r="23" spans="1:6">
      <c r="A23" s="5">
        <v>45402</v>
      </c>
      <c r="B23" s="6"/>
      <c r="C23" s="6"/>
      <c r="D23" s="6"/>
      <c r="E23" s="7">
        <f>IF(B23=0,0,C23/B23)</f>
        <v>0</v>
      </c>
      <c r="F23" s="8">
        <f>IF(D23=0,0,C23/D23)</f>
        <v>0</v>
      </c>
    </row>
    <row r="24" spans="1:6">
      <c r="A24" s="5">
        <v>45403</v>
      </c>
      <c r="B24" s="6"/>
      <c r="C24" s="6"/>
      <c r="D24" s="6"/>
      <c r="E24" s="7">
        <f>IF(B24=0,0,C24/B24)</f>
        <v>0</v>
      </c>
      <c r="F24" s="8">
        <f>IF(D24=0,0,C24/D24)</f>
        <v>0</v>
      </c>
    </row>
    <row r="25" spans="1:6">
      <c r="A25" s="5">
        <v>45404</v>
      </c>
      <c r="B25" s="6"/>
      <c r="C25" s="6"/>
      <c r="D25" s="6"/>
      <c r="E25" s="7">
        <f>IF(B25=0,0,C25/B25)</f>
        <v>0</v>
      </c>
      <c r="F25" s="8">
        <f>IF(D25=0,0,C25/D25)</f>
        <v>0</v>
      </c>
    </row>
    <row r="26" spans="1:6">
      <c r="A26" s="5">
        <v>45405</v>
      </c>
      <c r="B26" s="6"/>
      <c r="C26" s="6"/>
      <c r="D26" s="6"/>
      <c r="E26" s="7">
        <f>IF(B26=0,0,C26/B26)</f>
        <v>0</v>
      </c>
      <c r="F26" s="8">
        <f>IF(D26=0,0,C26/D26)</f>
        <v>0</v>
      </c>
    </row>
    <row r="27" spans="1:6">
      <c r="A27" s="5">
        <v>45406</v>
      </c>
      <c r="B27" s="6"/>
      <c r="C27" s="6"/>
      <c r="D27" s="6"/>
      <c r="E27" s="7">
        <f>IF(B27=0,0,C27/B27)</f>
        <v>0</v>
      </c>
      <c r="F27" s="8">
        <f>IF(D27=0,0,C27/D27)</f>
        <v>0</v>
      </c>
    </row>
    <row r="28" spans="1:6">
      <c r="A28" s="5">
        <v>45407</v>
      </c>
      <c r="B28" s="6"/>
      <c r="C28" s="6"/>
      <c r="D28" s="6"/>
      <c r="E28" s="7">
        <f>IF(B28=0,0,C28/B28)</f>
        <v>0</v>
      </c>
      <c r="F28" s="8">
        <f>IF(D28=0,0,C28/D28)</f>
        <v>0</v>
      </c>
    </row>
    <row r="29" spans="1:6">
      <c r="A29" s="5">
        <v>45408</v>
      </c>
      <c r="B29" s="6"/>
      <c r="C29" s="6"/>
      <c r="D29" s="6"/>
      <c r="E29" s="7">
        <f>IF(B29=0,0,C29/B29)</f>
        <v>0</v>
      </c>
      <c r="F29" s="8">
        <f>IF(D29=0,0,C29/D29)</f>
        <v>0</v>
      </c>
    </row>
    <row r="30" spans="1:6">
      <c r="A30" s="5">
        <v>45409</v>
      </c>
      <c r="B30" s="6"/>
      <c r="C30" s="6"/>
      <c r="D30" s="6"/>
      <c r="E30" s="7">
        <f>IF(B30=0,0,C30/B30)</f>
        <v>0</v>
      </c>
      <c r="F30" s="8">
        <f>IF(D30=0,0,C30/D30)</f>
        <v>0</v>
      </c>
    </row>
    <row r="31" spans="1:6">
      <c r="A31" s="5">
        <v>45410</v>
      </c>
      <c r="B31" s="6"/>
      <c r="C31" s="6"/>
      <c r="D31" s="6"/>
      <c r="E31" s="7">
        <f>IF(B31=0,0,C31/B31)</f>
        <v>0</v>
      </c>
      <c r="F31" s="8">
        <f>IF(D31=0,0,C31/D31)</f>
        <v>0</v>
      </c>
    </row>
    <row r="32" spans="1:6">
      <c r="A32" s="5">
        <v>45411</v>
      </c>
      <c r="B32" s="6"/>
      <c r="C32" s="6"/>
      <c r="D32" s="6"/>
      <c r="E32" s="7">
        <f>IF(B32=0,0,C32/B32)</f>
        <v>0</v>
      </c>
      <c r="F32" s="8">
        <f>IF(D32=0,0,C32/D32)</f>
        <v>0</v>
      </c>
    </row>
    <row r="33" spans="1:6">
      <c r="A33" s="5">
        <v>45412</v>
      </c>
      <c r="B33" s="6"/>
      <c r="C33" s="6"/>
      <c r="D33" s="6"/>
      <c r="E33" s="7">
        <f>IF(B33=0,0,C33/B33)</f>
        <v>0</v>
      </c>
      <c r="F33" s="8">
        <f>IF(D33=0,0,C33/D33)</f>
        <v>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cols>
    <col min="1" max="1" width="14.7109375" customWidth="1"/>
    <col min="2" max="2" width="18.7109375" customWidth="1"/>
    <col min="3" max="3" width="16.7109375" customWidth="1"/>
    <col min="4" max="4" width="18.7109375" customWidth="1"/>
    <col min="5" max="6" width="22.7109375" customWidth="1"/>
  </cols>
  <sheetData>
    <row r="1" spans="1:6" ht="22" customHeight="1">
      <c r="A1" s="1" t="s">
        <v>8</v>
      </c>
      <c r="B1" s="1"/>
      <c r="C1" s="1"/>
      <c r="D1" s="1"/>
      <c r="E1" s="1"/>
      <c r="F1" s="1"/>
    </row>
    <row r="2" spans="1:6" ht="30" customHeight="1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9</v>
      </c>
      <c r="C3" s="3" t="s">
        <v>10</v>
      </c>
      <c r="D3" s="3" t="s">
        <v>11</v>
      </c>
      <c r="E3" s="4" t="s">
        <v>12</v>
      </c>
      <c r="F3" s="4" t="s">
        <v>13</v>
      </c>
    </row>
    <row r="4" spans="1:6">
      <c r="A4" s="5">
        <v>45383</v>
      </c>
      <c r="B4" s="6"/>
      <c r="C4" s="6"/>
      <c r="D4" s="6"/>
      <c r="E4" s="8">
        <f>B4</f>
        <v>0</v>
      </c>
      <c r="F4" s="7">
        <f>IF(C4=0,0,D4/C4)</f>
        <v>0</v>
      </c>
    </row>
    <row r="5" spans="1:6">
      <c r="A5" s="5">
        <v>45384</v>
      </c>
      <c r="B5" s="6"/>
      <c r="C5" s="6"/>
      <c r="D5" s="6"/>
      <c r="E5" s="8">
        <f>B5</f>
        <v>0</v>
      </c>
      <c r="F5" s="7">
        <f>IF(C5=0,0,D5/C5)</f>
        <v>0</v>
      </c>
    </row>
    <row r="6" spans="1:6">
      <c r="A6" s="5">
        <v>45385</v>
      </c>
      <c r="B6" s="6"/>
      <c r="C6" s="6"/>
      <c r="D6" s="6"/>
      <c r="E6" s="8">
        <f>B6</f>
        <v>0</v>
      </c>
      <c r="F6" s="7">
        <f>IF(C6=0,0,D6/C6)</f>
        <v>0</v>
      </c>
    </row>
    <row r="7" spans="1:6">
      <c r="A7" s="5">
        <v>45386</v>
      </c>
      <c r="B7" s="6"/>
      <c r="C7" s="6"/>
      <c r="D7" s="6"/>
      <c r="E7" s="8">
        <f>B7</f>
        <v>0</v>
      </c>
      <c r="F7" s="7">
        <f>IF(C7=0,0,D7/C7)</f>
        <v>0</v>
      </c>
    </row>
    <row r="8" spans="1:6">
      <c r="A8" s="5">
        <v>45387</v>
      </c>
      <c r="B8" s="6"/>
      <c r="C8" s="6"/>
      <c r="D8" s="6"/>
      <c r="E8" s="8">
        <f>B8</f>
        <v>0</v>
      </c>
      <c r="F8" s="7">
        <f>IF(C8=0,0,D8/C8)</f>
        <v>0</v>
      </c>
    </row>
    <row r="9" spans="1:6">
      <c r="A9" s="5">
        <v>45388</v>
      </c>
      <c r="B9" s="6"/>
      <c r="C9" s="6"/>
      <c r="D9" s="6"/>
      <c r="E9" s="8">
        <f>B9</f>
        <v>0</v>
      </c>
      <c r="F9" s="7">
        <f>IF(C9=0,0,D9/C9)</f>
        <v>0</v>
      </c>
    </row>
    <row r="10" spans="1:6">
      <c r="A10" s="5">
        <v>45389</v>
      </c>
      <c r="B10" s="6"/>
      <c r="C10" s="6"/>
      <c r="D10" s="6"/>
      <c r="E10" s="8">
        <f>B10</f>
        <v>0</v>
      </c>
      <c r="F10" s="7">
        <f>IF(C10=0,0,D10/C10)</f>
        <v>0</v>
      </c>
    </row>
    <row r="11" spans="1:6">
      <c r="A11" s="5">
        <v>45390</v>
      </c>
      <c r="B11" s="6"/>
      <c r="C11" s="6"/>
      <c r="D11" s="6"/>
      <c r="E11" s="8">
        <f>B11</f>
        <v>0</v>
      </c>
      <c r="F11" s="7">
        <f>IF(C11=0,0,D11/C11)</f>
        <v>0</v>
      </c>
    </row>
    <row r="12" spans="1:6">
      <c r="A12" s="5">
        <v>45391</v>
      </c>
      <c r="B12" s="6"/>
      <c r="C12" s="6"/>
      <c r="D12" s="6"/>
      <c r="E12" s="8">
        <f>B12</f>
        <v>0</v>
      </c>
      <c r="F12" s="7">
        <f>IF(C12=0,0,D12/C12)</f>
        <v>0</v>
      </c>
    </row>
    <row r="13" spans="1:6">
      <c r="A13" s="5">
        <v>45392</v>
      </c>
      <c r="B13" s="6"/>
      <c r="C13" s="6"/>
      <c r="D13" s="6"/>
      <c r="E13" s="8">
        <f>B13</f>
        <v>0</v>
      </c>
      <c r="F13" s="7">
        <f>IF(C13=0,0,D13/C13)</f>
        <v>0</v>
      </c>
    </row>
    <row r="14" spans="1:6">
      <c r="A14" s="5">
        <v>45393</v>
      </c>
      <c r="B14" s="6"/>
      <c r="C14" s="6"/>
      <c r="D14" s="6"/>
      <c r="E14" s="8">
        <f>B14</f>
        <v>0</v>
      </c>
      <c r="F14" s="7">
        <f>IF(C14=0,0,D14/C14)</f>
        <v>0</v>
      </c>
    </row>
    <row r="15" spans="1:6">
      <c r="A15" s="5">
        <v>45394</v>
      </c>
      <c r="B15" s="6"/>
      <c r="C15" s="6"/>
      <c r="D15" s="6"/>
      <c r="E15" s="8">
        <f>B15</f>
        <v>0</v>
      </c>
      <c r="F15" s="7">
        <f>IF(C15=0,0,D15/C15)</f>
        <v>0</v>
      </c>
    </row>
    <row r="16" spans="1:6">
      <c r="A16" s="5">
        <v>45395</v>
      </c>
      <c r="B16" s="6"/>
      <c r="C16" s="6"/>
      <c r="D16" s="6"/>
      <c r="E16" s="8">
        <f>B16</f>
        <v>0</v>
      </c>
      <c r="F16" s="7">
        <f>IF(C16=0,0,D16/C16)</f>
        <v>0</v>
      </c>
    </row>
    <row r="17" spans="1:6">
      <c r="A17" s="5">
        <v>45396</v>
      </c>
      <c r="B17" s="6"/>
      <c r="C17" s="6"/>
      <c r="D17" s="6"/>
      <c r="E17" s="8">
        <f>B17</f>
        <v>0</v>
      </c>
      <c r="F17" s="7">
        <f>IF(C17=0,0,D17/C17)</f>
        <v>0</v>
      </c>
    </row>
    <row r="18" spans="1:6">
      <c r="A18" s="5">
        <v>45397</v>
      </c>
      <c r="B18" s="6"/>
      <c r="C18" s="6"/>
      <c r="D18" s="6"/>
      <c r="E18" s="8">
        <f>B18</f>
        <v>0</v>
      </c>
      <c r="F18" s="7">
        <f>IF(C18=0,0,D18/C18)</f>
        <v>0</v>
      </c>
    </row>
    <row r="19" spans="1:6">
      <c r="A19" s="5">
        <v>45398</v>
      </c>
      <c r="B19" s="6"/>
      <c r="C19" s="6"/>
      <c r="D19" s="6"/>
      <c r="E19" s="8">
        <f>B19</f>
        <v>0</v>
      </c>
      <c r="F19" s="7">
        <f>IF(C19=0,0,D19/C19)</f>
        <v>0</v>
      </c>
    </row>
    <row r="20" spans="1:6">
      <c r="A20" s="5">
        <v>45399</v>
      </c>
      <c r="B20" s="6"/>
      <c r="C20" s="6"/>
      <c r="D20" s="6"/>
      <c r="E20" s="8">
        <f>B20</f>
        <v>0</v>
      </c>
      <c r="F20" s="7">
        <f>IF(C20=0,0,D20/C20)</f>
        <v>0</v>
      </c>
    </row>
    <row r="21" spans="1:6">
      <c r="A21" s="5">
        <v>45400</v>
      </c>
      <c r="B21" s="6"/>
      <c r="C21" s="6"/>
      <c r="D21" s="6"/>
      <c r="E21" s="8">
        <f>B21</f>
        <v>0</v>
      </c>
      <c r="F21" s="7">
        <f>IF(C21=0,0,D21/C21)</f>
        <v>0</v>
      </c>
    </row>
    <row r="22" spans="1:6">
      <c r="A22" s="5">
        <v>45401</v>
      </c>
      <c r="B22" s="6"/>
      <c r="C22" s="6"/>
      <c r="D22" s="6"/>
      <c r="E22" s="8">
        <f>B22</f>
        <v>0</v>
      </c>
      <c r="F22" s="7">
        <f>IF(C22=0,0,D22/C22)</f>
        <v>0</v>
      </c>
    </row>
    <row r="23" spans="1:6">
      <c r="A23" s="5">
        <v>45402</v>
      </c>
      <c r="B23" s="6"/>
      <c r="C23" s="6"/>
      <c r="D23" s="6"/>
      <c r="E23" s="8">
        <f>B23</f>
        <v>0</v>
      </c>
      <c r="F23" s="7">
        <f>IF(C23=0,0,D23/C23)</f>
        <v>0</v>
      </c>
    </row>
    <row r="24" spans="1:6">
      <c r="A24" s="5">
        <v>45403</v>
      </c>
      <c r="B24" s="6"/>
      <c r="C24" s="6"/>
      <c r="D24" s="6"/>
      <c r="E24" s="8">
        <f>B24</f>
        <v>0</v>
      </c>
      <c r="F24" s="7">
        <f>IF(C24=0,0,D24/C24)</f>
        <v>0</v>
      </c>
    </row>
    <row r="25" spans="1:6">
      <c r="A25" s="5">
        <v>45404</v>
      </c>
      <c r="B25" s="6"/>
      <c r="C25" s="6"/>
      <c r="D25" s="6"/>
      <c r="E25" s="8">
        <f>B25</f>
        <v>0</v>
      </c>
      <c r="F25" s="7">
        <f>IF(C25=0,0,D25/C25)</f>
        <v>0</v>
      </c>
    </row>
    <row r="26" spans="1:6">
      <c r="A26" s="5">
        <v>45405</v>
      </c>
      <c r="B26" s="6"/>
      <c r="C26" s="6"/>
      <c r="D26" s="6"/>
      <c r="E26" s="8">
        <f>B26</f>
        <v>0</v>
      </c>
      <c r="F26" s="7">
        <f>IF(C26=0,0,D26/C26)</f>
        <v>0</v>
      </c>
    </row>
    <row r="27" spans="1:6">
      <c r="A27" s="5">
        <v>45406</v>
      </c>
      <c r="B27" s="6"/>
      <c r="C27" s="6"/>
      <c r="D27" s="6"/>
      <c r="E27" s="8">
        <f>B27</f>
        <v>0</v>
      </c>
      <c r="F27" s="7">
        <f>IF(C27=0,0,D27/C27)</f>
        <v>0</v>
      </c>
    </row>
    <row r="28" spans="1:6">
      <c r="A28" s="5">
        <v>45407</v>
      </c>
      <c r="B28" s="6"/>
      <c r="C28" s="6"/>
      <c r="D28" s="6"/>
      <c r="E28" s="8">
        <f>B28</f>
        <v>0</v>
      </c>
      <c r="F28" s="7">
        <f>IF(C28=0,0,D28/C28)</f>
        <v>0</v>
      </c>
    </row>
    <row r="29" spans="1:6">
      <c r="A29" s="5">
        <v>45408</v>
      </c>
      <c r="B29" s="6"/>
      <c r="C29" s="6"/>
      <c r="D29" s="6"/>
      <c r="E29" s="8">
        <f>B29</f>
        <v>0</v>
      </c>
      <c r="F29" s="7">
        <f>IF(C29=0,0,D29/C29)</f>
        <v>0</v>
      </c>
    </row>
    <row r="30" spans="1:6">
      <c r="A30" s="5">
        <v>45409</v>
      </c>
      <c r="B30" s="6"/>
      <c r="C30" s="6"/>
      <c r="D30" s="6"/>
      <c r="E30" s="8">
        <f>B30</f>
        <v>0</v>
      </c>
      <c r="F30" s="7">
        <f>IF(C30=0,0,D30/C30)</f>
        <v>0</v>
      </c>
    </row>
    <row r="31" spans="1:6">
      <c r="A31" s="5">
        <v>45410</v>
      </c>
      <c r="B31" s="6"/>
      <c r="C31" s="6"/>
      <c r="D31" s="6"/>
      <c r="E31" s="8">
        <f>B31</f>
        <v>0</v>
      </c>
      <c r="F31" s="7">
        <f>IF(C31=0,0,D31/C31)</f>
        <v>0</v>
      </c>
    </row>
    <row r="32" spans="1:6">
      <c r="A32" s="5">
        <v>45411</v>
      </c>
      <c r="B32" s="6"/>
      <c r="C32" s="6"/>
      <c r="D32" s="6"/>
      <c r="E32" s="8">
        <f>B32</f>
        <v>0</v>
      </c>
      <c r="F32" s="7">
        <f>IF(C32=0,0,D32/C32)</f>
        <v>0</v>
      </c>
    </row>
    <row r="33" spans="1:6">
      <c r="A33" s="5">
        <v>45412</v>
      </c>
      <c r="B33" s="6"/>
      <c r="C33" s="6"/>
      <c r="D33" s="6"/>
      <c r="E33" s="8">
        <f>B33</f>
        <v>0</v>
      </c>
      <c r="F33" s="7">
        <f>IF(C33=0,0,D33/C33)</f>
        <v>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cols>
    <col min="1" max="1" width="14.7109375" customWidth="1"/>
    <col min="2" max="3" width="20.7109375" customWidth="1"/>
    <col min="4" max="4" width="22.7109375" customWidth="1"/>
    <col min="5" max="5" width="20.7109375" customWidth="1"/>
    <col min="6" max="7" width="22.7109375" customWidth="1"/>
  </cols>
  <sheetData>
    <row r="1" spans="1:7" ht="22" customHeight="1">
      <c r="A1" s="1" t="s">
        <v>14</v>
      </c>
      <c r="B1" s="1"/>
      <c r="C1" s="1"/>
      <c r="D1" s="1"/>
      <c r="E1" s="1"/>
      <c r="F1" s="1"/>
      <c r="G1" s="1"/>
    </row>
    <row r="2" spans="1:7" ht="30" customHeight="1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15</v>
      </c>
      <c r="C3" s="3" t="s">
        <v>16</v>
      </c>
      <c r="D3" s="3" t="s">
        <v>17</v>
      </c>
      <c r="E3" s="3" t="s">
        <v>18</v>
      </c>
      <c r="F3" s="4" t="s">
        <v>19</v>
      </c>
      <c r="G3" s="4" t="s">
        <v>20</v>
      </c>
    </row>
    <row r="4" spans="1:7">
      <c r="A4" s="5">
        <v>45383</v>
      </c>
      <c r="B4" s="6"/>
      <c r="C4" s="6"/>
      <c r="D4" s="6"/>
      <c r="E4" s="6"/>
      <c r="F4" s="7">
        <f>IF(C4=0,0,B4/C4)</f>
        <v>0</v>
      </c>
      <c r="G4" s="8">
        <f>IF(E4=0,0,D4/E4)</f>
        <v>0</v>
      </c>
    </row>
    <row r="5" spans="1:7">
      <c r="A5" s="5">
        <v>45384</v>
      </c>
      <c r="B5" s="6"/>
      <c r="C5" s="6"/>
      <c r="D5" s="6"/>
      <c r="E5" s="6"/>
      <c r="F5" s="7">
        <f>IF(C5=0,0,B5/C5)</f>
        <v>0</v>
      </c>
      <c r="G5" s="8">
        <f>IF(E5=0,0,D5/E5)</f>
        <v>0</v>
      </c>
    </row>
    <row r="6" spans="1:7">
      <c r="A6" s="5">
        <v>45385</v>
      </c>
      <c r="B6" s="6"/>
      <c r="C6" s="6"/>
      <c r="D6" s="6"/>
      <c r="E6" s="6"/>
      <c r="F6" s="7">
        <f>IF(C6=0,0,B6/C6)</f>
        <v>0</v>
      </c>
      <c r="G6" s="8">
        <f>IF(E6=0,0,D6/E6)</f>
        <v>0</v>
      </c>
    </row>
    <row r="7" spans="1:7">
      <c r="A7" s="5">
        <v>45386</v>
      </c>
      <c r="B7" s="6"/>
      <c r="C7" s="6"/>
      <c r="D7" s="6"/>
      <c r="E7" s="6"/>
      <c r="F7" s="7">
        <f>IF(C7=0,0,B7/C7)</f>
        <v>0</v>
      </c>
      <c r="G7" s="8">
        <f>IF(E7=0,0,D7/E7)</f>
        <v>0</v>
      </c>
    </row>
    <row r="8" spans="1:7">
      <c r="A8" s="5">
        <v>45387</v>
      </c>
      <c r="B8" s="6"/>
      <c r="C8" s="6"/>
      <c r="D8" s="6"/>
      <c r="E8" s="6"/>
      <c r="F8" s="7">
        <f>IF(C8=0,0,B8/C8)</f>
        <v>0</v>
      </c>
      <c r="G8" s="8">
        <f>IF(E8=0,0,D8/E8)</f>
        <v>0</v>
      </c>
    </row>
    <row r="9" spans="1:7">
      <c r="A9" s="5">
        <v>45388</v>
      </c>
      <c r="B9" s="6"/>
      <c r="C9" s="6"/>
      <c r="D9" s="6"/>
      <c r="E9" s="6"/>
      <c r="F9" s="7">
        <f>IF(C9=0,0,B9/C9)</f>
        <v>0</v>
      </c>
      <c r="G9" s="8">
        <f>IF(E9=0,0,D9/E9)</f>
        <v>0</v>
      </c>
    </row>
    <row r="10" spans="1:7">
      <c r="A10" s="5">
        <v>45389</v>
      </c>
      <c r="B10" s="6"/>
      <c r="C10" s="6"/>
      <c r="D10" s="6"/>
      <c r="E10" s="6"/>
      <c r="F10" s="7">
        <f>IF(C10=0,0,B10/C10)</f>
        <v>0</v>
      </c>
      <c r="G10" s="8">
        <f>IF(E10=0,0,D10/E10)</f>
        <v>0</v>
      </c>
    </row>
    <row r="11" spans="1:7">
      <c r="A11" s="5">
        <v>45390</v>
      </c>
      <c r="B11" s="6"/>
      <c r="C11" s="6"/>
      <c r="D11" s="6"/>
      <c r="E11" s="6"/>
      <c r="F11" s="7">
        <f>IF(C11=0,0,B11/C11)</f>
        <v>0</v>
      </c>
      <c r="G11" s="8">
        <f>IF(E11=0,0,D11/E11)</f>
        <v>0</v>
      </c>
    </row>
    <row r="12" spans="1:7">
      <c r="A12" s="5">
        <v>45391</v>
      </c>
      <c r="B12" s="6"/>
      <c r="C12" s="6"/>
      <c r="D12" s="6"/>
      <c r="E12" s="6"/>
      <c r="F12" s="7">
        <f>IF(C12=0,0,B12/C12)</f>
        <v>0</v>
      </c>
      <c r="G12" s="8">
        <f>IF(E12=0,0,D12/E12)</f>
        <v>0</v>
      </c>
    </row>
    <row r="13" spans="1:7">
      <c r="A13" s="5">
        <v>45392</v>
      </c>
      <c r="B13" s="6"/>
      <c r="C13" s="6"/>
      <c r="D13" s="6"/>
      <c r="E13" s="6"/>
      <c r="F13" s="7">
        <f>IF(C13=0,0,B13/C13)</f>
        <v>0</v>
      </c>
      <c r="G13" s="8">
        <f>IF(E13=0,0,D13/E13)</f>
        <v>0</v>
      </c>
    </row>
    <row r="14" spans="1:7">
      <c r="A14" s="5">
        <v>45393</v>
      </c>
      <c r="B14" s="6"/>
      <c r="C14" s="6"/>
      <c r="D14" s="6"/>
      <c r="E14" s="6"/>
      <c r="F14" s="7">
        <f>IF(C14=0,0,B14/C14)</f>
        <v>0</v>
      </c>
      <c r="G14" s="8">
        <f>IF(E14=0,0,D14/E14)</f>
        <v>0</v>
      </c>
    </row>
    <row r="15" spans="1:7">
      <c r="A15" s="5">
        <v>45394</v>
      </c>
      <c r="B15" s="6"/>
      <c r="C15" s="6"/>
      <c r="D15" s="6"/>
      <c r="E15" s="6"/>
      <c r="F15" s="7">
        <f>IF(C15=0,0,B15/C15)</f>
        <v>0</v>
      </c>
      <c r="G15" s="8">
        <f>IF(E15=0,0,D15/E15)</f>
        <v>0</v>
      </c>
    </row>
    <row r="16" spans="1:7">
      <c r="A16" s="5">
        <v>45395</v>
      </c>
      <c r="B16" s="6"/>
      <c r="C16" s="6"/>
      <c r="D16" s="6"/>
      <c r="E16" s="6"/>
      <c r="F16" s="7">
        <f>IF(C16=0,0,B16/C16)</f>
        <v>0</v>
      </c>
      <c r="G16" s="8">
        <f>IF(E16=0,0,D16/E16)</f>
        <v>0</v>
      </c>
    </row>
    <row r="17" spans="1:7">
      <c r="A17" s="5">
        <v>45396</v>
      </c>
      <c r="B17" s="6"/>
      <c r="C17" s="6"/>
      <c r="D17" s="6"/>
      <c r="E17" s="6"/>
      <c r="F17" s="7">
        <f>IF(C17=0,0,B17/C17)</f>
        <v>0</v>
      </c>
      <c r="G17" s="8">
        <f>IF(E17=0,0,D17/E17)</f>
        <v>0</v>
      </c>
    </row>
    <row r="18" spans="1:7">
      <c r="A18" s="5">
        <v>45397</v>
      </c>
      <c r="B18" s="6"/>
      <c r="C18" s="6"/>
      <c r="D18" s="6"/>
      <c r="E18" s="6"/>
      <c r="F18" s="7">
        <f>IF(C18=0,0,B18/C18)</f>
        <v>0</v>
      </c>
      <c r="G18" s="8">
        <f>IF(E18=0,0,D18/E18)</f>
        <v>0</v>
      </c>
    </row>
    <row r="19" spans="1:7">
      <c r="A19" s="5">
        <v>45398</v>
      </c>
      <c r="B19" s="6"/>
      <c r="C19" s="6"/>
      <c r="D19" s="6"/>
      <c r="E19" s="6"/>
      <c r="F19" s="7">
        <f>IF(C19=0,0,B19/C19)</f>
        <v>0</v>
      </c>
      <c r="G19" s="8">
        <f>IF(E19=0,0,D19/E19)</f>
        <v>0</v>
      </c>
    </row>
    <row r="20" spans="1:7">
      <c r="A20" s="5">
        <v>45399</v>
      </c>
      <c r="B20" s="6"/>
      <c r="C20" s="6"/>
      <c r="D20" s="6"/>
      <c r="E20" s="6"/>
      <c r="F20" s="7">
        <f>IF(C20=0,0,B20/C20)</f>
        <v>0</v>
      </c>
      <c r="G20" s="8">
        <f>IF(E20=0,0,D20/E20)</f>
        <v>0</v>
      </c>
    </row>
    <row r="21" spans="1:7">
      <c r="A21" s="5">
        <v>45400</v>
      </c>
      <c r="B21" s="6"/>
      <c r="C21" s="6"/>
      <c r="D21" s="6"/>
      <c r="E21" s="6"/>
      <c r="F21" s="7">
        <f>IF(C21=0,0,B21/C21)</f>
        <v>0</v>
      </c>
      <c r="G21" s="8">
        <f>IF(E21=0,0,D21/E21)</f>
        <v>0</v>
      </c>
    </row>
    <row r="22" spans="1:7">
      <c r="A22" s="5">
        <v>45401</v>
      </c>
      <c r="B22" s="6"/>
      <c r="C22" s="6"/>
      <c r="D22" s="6"/>
      <c r="E22" s="6"/>
      <c r="F22" s="7">
        <f>IF(C22=0,0,B22/C22)</f>
        <v>0</v>
      </c>
      <c r="G22" s="8">
        <f>IF(E22=0,0,D22/E22)</f>
        <v>0</v>
      </c>
    </row>
    <row r="23" spans="1:7">
      <c r="A23" s="5">
        <v>45402</v>
      </c>
      <c r="B23" s="6"/>
      <c r="C23" s="6"/>
      <c r="D23" s="6"/>
      <c r="E23" s="6"/>
      <c r="F23" s="7">
        <f>IF(C23=0,0,B23/C23)</f>
        <v>0</v>
      </c>
      <c r="G23" s="8">
        <f>IF(E23=0,0,D23/E23)</f>
        <v>0</v>
      </c>
    </row>
    <row r="24" spans="1:7">
      <c r="A24" s="5">
        <v>45403</v>
      </c>
      <c r="B24" s="6"/>
      <c r="C24" s="6"/>
      <c r="D24" s="6"/>
      <c r="E24" s="6"/>
      <c r="F24" s="7">
        <f>IF(C24=0,0,B24/C24)</f>
        <v>0</v>
      </c>
      <c r="G24" s="8">
        <f>IF(E24=0,0,D24/E24)</f>
        <v>0</v>
      </c>
    </row>
    <row r="25" spans="1:7">
      <c r="A25" s="5">
        <v>45404</v>
      </c>
      <c r="B25" s="6"/>
      <c r="C25" s="6"/>
      <c r="D25" s="6"/>
      <c r="E25" s="6"/>
      <c r="F25" s="7">
        <f>IF(C25=0,0,B25/C25)</f>
        <v>0</v>
      </c>
      <c r="G25" s="8">
        <f>IF(E25=0,0,D25/E25)</f>
        <v>0</v>
      </c>
    </row>
    <row r="26" spans="1:7">
      <c r="A26" s="5">
        <v>45405</v>
      </c>
      <c r="B26" s="6"/>
      <c r="C26" s="6"/>
      <c r="D26" s="6"/>
      <c r="E26" s="6"/>
      <c r="F26" s="7">
        <f>IF(C26=0,0,B26/C26)</f>
        <v>0</v>
      </c>
      <c r="G26" s="8">
        <f>IF(E26=0,0,D26/E26)</f>
        <v>0</v>
      </c>
    </row>
    <row r="27" spans="1:7">
      <c r="A27" s="5">
        <v>45406</v>
      </c>
      <c r="B27" s="6"/>
      <c r="C27" s="6"/>
      <c r="D27" s="6"/>
      <c r="E27" s="6"/>
      <c r="F27" s="7">
        <f>IF(C27=0,0,B27/C27)</f>
        <v>0</v>
      </c>
      <c r="G27" s="8">
        <f>IF(E27=0,0,D27/E27)</f>
        <v>0</v>
      </c>
    </row>
    <row r="28" spans="1:7">
      <c r="A28" s="5">
        <v>45407</v>
      </c>
      <c r="B28" s="6"/>
      <c r="C28" s="6"/>
      <c r="D28" s="6"/>
      <c r="E28" s="6"/>
      <c r="F28" s="7">
        <f>IF(C28=0,0,B28/C28)</f>
        <v>0</v>
      </c>
      <c r="G28" s="8">
        <f>IF(E28=0,0,D28/E28)</f>
        <v>0</v>
      </c>
    </row>
    <row r="29" spans="1:7">
      <c r="A29" s="5">
        <v>45408</v>
      </c>
      <c r="B29" s="6"/>
      <c r="C29" s="6"/>
      <c r="D29" s="6"/>
      <c r="E29" s="6"/>
      <c r="F29" s="7">
        <f>IF(C29=0,0,B29/C29)</f>
        <v>0</v>
      </c>
      <c r="G29" s="8">
        <f>IF(E29=0,0,D29/E29)</f>
        <v>0</v>
      </c>
    </row>
    <row r="30" spans="1:7">
      <c r="A30" s="5">
        <v>45409</v>
      </c>
      <c r="B30" s="6"/>
      <c r="C30" s="6"/>
      <c r="D30" s="6"/>
      <c r="E30" s="6"/>
      <c r="F30" s="7">
        <f>IF(C30=0,0,B30/C30)</f>
        <v>0</v>
      </c>
      <c r="G30" s="8">
        <f>IF(E30=0,0,D30/E30)</f>
        <v>0</v>
      </c>
    </row>
    <row r="31" spans="1:7">
      <c r="A31" s="5">
        <v>45410</v>
      </c>
      <c r="B31" s="6"/>
      <c r="C31" s="6"/>
      <c r="D31" s="6"/>
      <c r="E31" s="6"/>
      <c r="F31" s="7">
        <f>IF(C31=0,0,B31/C31)</f>
        <v>0</v>
      </c>
      <c r="G31" s="8">
        <f>IF(E31=0,0,D31/E31)</f>
        <v>0</v>
      </c>
    </row>
    <row r="32" spans="1:7">
      <c r="A32" s="5">
        <v>45411</v>
      </c>
      <c r="B32" s="6"/>
      <c r="C32" s="6"/>
      <c r="D32" s="6"/>
      <c r="E32" s="6"/>
      <c r="F32" s="7">
        <f>IF(C32=0,0,B32/C32)</f>
        <v>0</v>
      </c>
      <c r="G32" s="8">
        <f>IF(E32=0,0,D32/E32)</f>
        <v>0</v>
      </c>
    </row>
    <row r="33" spans="1:7">
      <c r="A33" s="5">
        <v>45412</v>
      </c>
      <c r="B33" s="6"/>
      <c r="C33" s="6"/>
      <c r="D33" s="6"/>
      <c r="E33" s="6"/>
      <c r="F33" s="7">
        <f>IF(C33=0,0,B33/C33)</f>
        <v>0</v>
      </c>
      <c r="G33" s="8">
        <f>IF(E33=0,0,D33/E33)</f>
        <v>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cols>
    <col min="1" max="1" width="14.7109375" customWidth="1"/>
    <col min="2" max="3" width="20.7109375" customWidth="1"/>
  </cols>
  <sheetData>
    <row r="1" spans="1:3" ht="22" customHeight="1">
      <c r="A1" s="1" t="s">
        <v>21</v>
      </c>
      <c r="B1" s="1"/>
      <c r="C1" s="1"/>
    </row>
    <row r="2" spans="1:3" ht="30" customHeight="1">
      <c r="A2" s="2" t="s">
        <v>1</v>
      </c>
      <c r="B2" s="2"/>
      <c r="C2" s="2"/>
    </row>
    <row r="3" spans="1:3">
      <c r="A3" s="3" t="s">
        <v>2</v>
      </c>
      <c r="B3" s="3" t="s">
        <v>22</v>
      </c>
      <c r="C3" s="3" t="s">
        <v>23</v>
      </c>
    </row>
    <row r="4" spans="1:3">
      <c r="A4" s="5">
        <v>45383</v>
      </c>
      <c r="B4" s="6"/>
      <c r="C4" s="6"/>
    </row>
    <row r="5" spans="1:3">
      <c r="A5" s="5">
        <v>45384</v>
      </c>
      <c r="B5" s="6"/>
      <c r="C5" s="6"/>
    </row>
    <row r="6" spans="1:3">
      <c r="A6" s="5">
        <v>45385</v>
      </c>
      <c r="B6" s="6"/>
      <c r="C6" s="6"/>
    </row>
    <row r="7" spans="1:3">
      <c r="A7" s="5">
        <v>45386</v>
      </c>
      <c r="B7" s="6"/>
      <c r="C7" s="6"/>
    </row>
    <row r="8" spans="1:3">
      <c r="A8" s="5">
        <v>45387</v>
      </c>
      <c r="B8" s="6"/>
      <c r="C8" s="6"/>
    </row>
    <row r="9" spans="1:3">
      <c r="A9" s="5">
        <v>45388</v>
      </c>
      <c r="B9" s="6"/>
      <c r="C9" s="6"/>
    </row>
    <row r="10" spans="1:3">
      <c r="A10" s="5">
        <v>45389</v>
      </c>
      <c r="B10" s="6"/>
      <c r="C10" s="6"/>
    </row>
    <row r="11" spans="1:3">
      <c r="A11" s="5">
        <v>45390</v>
      </c>
      <c r="B11" s="6"/>
      <c r="C11" s="6"/>
    </row>
    <row r="12" spans="1:3">
      <c r="A12" s="5">
        <v>45391</v>
      </c>
      <c r="B12" s="6"/>
      <c r="C12" s="6"/>
    </row>
    <row r="13" spans="1:3">
      <c r="A13" s="5">
        <v>45392</v>
      </c>
      <c r="B13" s="6"/>
      <c r="C13" s="6"/>
    </row>
    <row r="14" spans="1:3">
      <c r="A14" s="5">
        <v>45393</v>
      </c>
      <c r="B14" s="6"/>
      <c r="C14" s="6"/>
    </row>
    <row r="15" spans="1:3">
      <c r="A15" s="5">
        <v>45394</v>
      </c>
      <c r="B15" s="6"/>
      <c r="C15" s="6"/>
    </row>
    <row r="16" spans="1:3">
      <c r="A16" s="5">
        <v>45395</v>
      </c>
      <c r="B16" s="6"/>
      <c r="C16" s="6"/>
    </row>
    <row r="17" spans="1:3">
      <c r="A17" s="5">
        <v>45396</v>
      </c>
      <c r="B17" s="6"/>
      <c r="C17" s="6"/>
    </row>
    <row r="18" spans="1:3">
      <c r="A18" s="5">
        <v>45397</v>
      </c>
      <c r="B18" s="6"/>
      <c r="C18" s="6"/>
    </row>
    <row r="19" spans="1:3">
      <c r="A19" s="5">
        <v>45398</v>
      </c>
      <c r="B19" s="6"/>
      <c r="C19" s="6"/>
    </row>
    <row r="20" spans="1:3">
      <c r="A20" s="5">
        <v>45399</v>
      </c>
      <c r="B20" s="6"/>
      <c r="C20" s="6"/>
    </row>
    <row r="21" spans="1:3">
      <c r="A21" s="5">
        <v>45400</v>
      </c>
      <c r="B21" s="6"/>
      <c r="C21" s="6"/>
    </row>
    <row r="22" spans="1:3">
      <c r="A22" s="5">
        <v>45401</v>
      </c>
      <c r="B22" s="6"/>
      <c r="C22" s="6"/>
    </row>
    <row r="23" spans="1:3">
      <c r="A23" s="5">
        <v>45402</v>
      </c>
      <c r="B23" s="6"/>
      <c r="C23" s="6"/>
    </row>
    <row r="24" spans="1:3">
      <c r="A24" s="5">
        <v>45403</v>
      </c>
      <c r="B24" s="6"/>
      <c r="C24" s="6"/>
    </row>
    <row r="25" spans="1:3">
      <c r="A25" s="5">
        <v>45404</v>
      </c>
      <c r="B25" s="6"/>
      <c r="C25" s="6"/>
    </row>
    <row r="26" spans="1:3">
      <c r="A26" s="5">
        <v>45405</v>
      </c>
      <c r="B26" s="6"/>
      <c r="C26" s="6"/>
    </row>
    <row r="27" spans="1:3">
      <c r="A27" s="5">
        <v>45406</v>
      </c>
      <c r="B27" s="6"/>
      <c r="C27" s="6"/>
    </row>
    <row r="28" spans="1:3">
      <c r="A28" s="5">
        <v>45407</v>
      </c>
      <c r="B28" s="6"/>
      <c r="C28" s="6"/>
    </row>
    <row r="29" spans="1:3">
      <c r="A29" s="5">
        <v>45408</v>
      </c>
      <c r="B29" s="6"/>
      <c r="C29" s="6"/>
    </row>
    <row r="30" spans="1:3">
      <c r="A30" s="5">
        <v>45409</v>
      </c>
      <c r="B30" s="6"/>
      <c r="C30" s="6"/>
    </row>
    <row r="31" spans="1:3">
      <c r="A31" s="5">
        <v>45410</v>
      </c>
      <c r="B31" s="6"/>
      <c r="C31" s="6"/>
    </row>
    <row r="32" spans="1:3">
      <c r="A32" s="5">
        <v>45411</v>
      </c>
      <c r="B32" s="6"/>
      <c r="C32" s="6"/>
    </row>
    <row r="33" spans="1:3">
      <c r="A33" s="5">
        <v>45412</v>
      </c>
      <c r="B33" s="6"/>
      <c r="C33" s="6"/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cols>
    <col min="1" max="1" width="14.7109375" customWidth="1"/>
    <col min="2" max="3" width="20.7109375" customWidth="1"/>
    <col min="4" max="5" width="16.7109375" customWidth="1"/>
    <col min="6" max="6" width="18.7109375" customWidth="1"/>
    <col min="7" max="7" width="16.7109375" customWidth="1"/>
    <col min="8" max="8" width="22.7109375" customWidth="1"/>
  </cols>
  <sheetData>
    <row r="1" spans="1:8" ht="22" customHeight="1">
      <c r="A1" s="1" t="s">
        <v>24</v>
      </c>
      <c r="B1" s="1"/>
      <c r="C1" s="1"/>
      <c r="D1" s="1"/>
      <c r="E1" s="1"/>
      <c r="F1" s="1"/>
      <c r="G1" s="1"/>
      <c r="H1" s="1"/>
    </row>
    <row r="2" spans="1:8" ht="3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3" t="s">
        <v>2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11</v>
      </c>
      <c r="G3" s="3" t="s">
        <v>10</v>
      </c>
      <c r="H3" s="4" t="s">
        <v>29</v>
      </c>
    </row>
    <row r="4" spans="1:8">
      <c r="A4" s="5">
        <v>45383</v>
      </c>
      <c r="B4" s="6"/>
      <c r="C4" s="6"/>
      <c r="D4" s="6"/>
      <c r="E4" s="6"/>
      <c r="F4" s="6"/>
      <c r="G4" s="6"/>
      <c r="H4" s="7">
        <f>IF(OR(C4=0,E4=0,G4=0),0,((B4/C4)*0.4+(D4/E4)*0.3+(1-F4/G4)*0.2)/0.9)</f>
        <v>0</v>
      </c>
    </row>
    <row r="5" spans="1:8">
      <c r="A5" s="5">
        <v>45384</v>
      </c>
      <c r="B5" s="6"/>
      <c r="C5" s="6"/>
      <c r="D5" s="6"/>
      <c r="E5" s="6"/>
      <c r="F5" s="6"/>
      <c r="G5" s="6"/>
      <c r="H5" s="7">
        <f>IF(OR(C5=0,E5=0,G5=0),0,((B5/C5)*0.4+(D5/E5)*0.3+(1-F5/G5)*0.2)/0.9)</f>
        <v>0</v>
      </c>
    </row>
    <row r="6" spans="1:8">
      <c r="A6" s="5">
        <v>45385</v>
      </c>
      <c r="B6" s="6"/>
      <c r="C6" s="6"/>
      <c r="D6" s="6"/>
      <c r="E6" s="6"/>
      <c r="F6" s="6"/>
      <c r="G6" s="6"/>
      <c r="H6" s="7">
        <f>IF(OR(C6=0,E6=0,G6=0),0,((B6/C6)*0.4+(D6/E6)*0.3+(1-F6/G6)*0.2)/0.9)</f>
        <v>0</v>
      </c>
    </row>
    <row r="7" spans="1:8">
      <c r="A7" s="5">
        <v>45386</v>
      </c>
      <c r="B7" s="6"/>
      <c r="C7" s="6"/>
      <c r="D7" s="6"/>
      <c r="E7" s="6"/>
      <c r="F7" s="6"/>
      <c r="G7" s="6"/>
      <c r="H7" s="7">
        <f>IF(OR(C7=0,E7=0,G7=0),0,((B7/C7)*0.4+(D7/E7)*0.3+(1-F7/G7)*0.2)/0.9)</f>
        <v>0</v>
      </c>
    </row>
    <row r="8" spans="1:8">
      <c r="A8" s="5">
        <v>45387</v>
      </c>
      <c r="B8" s="6"/>
      <c r="C8" s="6"/>
      <c r="D8" s="6"/>
      <c r="E8" s="6"/>
      <c r="F8" s="6"/>
      <c r="G8" s="6"/>
      <c r="H8" s="7">
        <f>IF(OR(C8=0,E8=0,G8=0),0,((B8/C8)*0.4+(D8/E8)*0.3+(1-F8/G8)*0.2)/0.9)</f>
        <v>0</v>
      </c>
    </row>
    <row r="9" spans="1:8">
      <c r="A9" s="5">
        <v>45388</v>
      </c>
      <c r="B9" s="6"/>
      <c r="C9" s="6"/>
      <c r="D9" s="6"/>
      <c r="E9" s="6"/>
      <c r="F9" s="6"/>
      <c r="G9" s="6"/>
      <c r="H9" s="7">
        <f>IF(OR(C9=0,E9=0,G9=0),0,((B9/C9)*0.4+(D9/E9)*0.3+(1-F9/G9)*0.2)/0.9)</f>
        <v>0</v>
      </c>
    </row>
    <row r="10" spans="1:8">
      <c r="A10" s="5">
        <v>45389</v>
      </c>
      <c r="B10" s="6"/>
      <c r="C10" s="6"/>
      <c r="D10" s="6"/>
      <c r="E10" s="6"/>
      <c r="F10" s="6"/>
      <c r="G10" s="6"/>
      <c r="H10" s="7">
        <f>IF(OR(C10=0,E10=0,G10=0),0,((B10/C10)*0.4+(D10/E10)*0.3+(1-F10/G10)*0.2)/0.9)</f>
        <v>0</v>
      </c>
    </row>
    <row r="11" spans="1:8">
      <c r="A11" s="5">
        <v>45390</v>
      </c>
      <c r="B11" s="6"/>
      <c r="C11" s="6"/>
      <c r="D11" s="6"/>
      <c r="E11" s="6"/>
      <c r="F11" s="6"/>
      <c r="G11" s="6"/>
      <c r="H11" s="7">
        <f>IF(OR(C11=0,E11=0,G11=0),0,((B11/C11)*0.4+(D11/E11)*0.3+(1-F11/G11)*0.2)/0.9)</f>
        <v>0</v>
      </c>
    </row>
    <row r="12" spans="1:8">
      <c r="A12" s="5">
        <v>45391</v>
      </c>
      <c r="B12" s="6"/>
      <c r="C12" s="6"/>
      <c r="D12" s="6"/>
      <c r="E12" s="6"/>
      <c r="F12" s="6"/>
      <c r="G12" s="6"/>
      <c r="H12" s="7">
        <f>IF(OR(C12=0,E12=0,G12=0),0,((B12/C12)*0.4+(D12/E12)*0.3+(1-F12/G12)*0.2)/0.9)</f>
        <v>0</v>
      </c>
    </row>
    <row r="13" spans="1:8">
      <c r="A13" s="5">
        <v>45392</v>
      </c>
      <c r="B13" s="6"/>
      <c r="C13" s="6"/>
      <c r="D13" s="6"/>
      <c r="E13" s="6"/>
      <c r="F13" s="6"/>
      <c r="G13" s="6"/>
      <c r="H13" s="7">
        <f>IF(OR(C13=0,E13=0,G13=0),0,((B13/C13)*0.4+(D13/E13)*0.3+(1-F13/G13)*0.2)/0.9)</f>
        <v>0</v>
      </c>
    </row>
    <row r="14" spans="1:8">
      <c r="A14" s="5">
        <v>45393</v>
      </c>
      <c r="B14" s="6"/>
      <c r="C14" s="6"/>
      <c r="D14" s="6"/>
      <c r="E14" s="6"/>
      <c r="F14" s="6"/>
      <c r="G14" s="6"/>
      <c r="H14" s="7">
        <f>IF(OR(C14=0,E14=0,G14=0),0,((B14/C14)*0.4+(D14/E14)*0.3+(1-F14/G14)*0.2)/0.9)</f>
        <v>0</v>
      </c>
    </row>
    <row r="15" spans="1:8">
      <c r="A15" s="5">
        <v>45394</v>
      </c>
      <c r="B15" s="6"/>
      <c r="C15" s="6"/>
      <c r="D15" s="6"/>
      <c r="E15" s="6"/>
      <c r="F15" s="6"/>
      <c r="G15" s="6"/>
      <c r="H15" s="7">
        <f>IF(OR(C15=0,E15=0,G15=0),0,((B15/C15)*0.4+(D15/E15)*0.3+(1-F15/G15)*0.2)/0.9)</f>
        <v>0</v>
      </c>
    </row>
    <row r="16" spans="1:8">
      <c r="A16" s="5">
        <v>45395</v>
      </c>
      <c r="B16" s="6"/>
      <c r="C16" s="6"/>
      <c r="D16" s="6"/>
      <c r="E16" s="6"/>
      <c r="F16" s="6"/>
      <c r="G16" s="6"/>
      <c r="H16" s="7">
        <f>IF(OR(C16=0,E16=0,G16=0),0,((B16/C16)*0.4+(D16/E16)*0.3+(1-F16/G16)*0.2)/0.9)</f>
        <v>0</v>
      </c>
    </row>
    <row r="17" spans="1:8">
      <c r="A17" s="5">
        <v>45396</v>
      </c>
      <c r="B17" s="6"/>
      <c r="C17" s="6"/>
      <c r="D17" s="6"/>
      <c r="E17" s="6"/>
      <c r="F17" s="6"/>
      <c r="G17" s="6"/>
      <c r="H17" s="7">
        <f>IF(OR(C17=0,E17=0,G17=0),0,((B17/C17)*0.4+(D17/E17)*0.3+(1-F17/G17)*0.2)/0.9)</f>
        <v>0</v>
      </c>
    </row>
    <row r="18" spans="1:8">
      <c r="A18" s="5">
        <v>45397</v>
      </c>
      <c r="B18" s="6"/>
      <c r="C18" s="6"/>
      <c r="D18" s="6"/>
      <c r="E18" s="6"/>
      <c r="F18" s="6"/>
      <c r="G18" s="6"/>
      <c r="H18" s="7">
        <f>IF(OR(C18=0,E18=0,G18=0),0,((B18/C18)*0.4+(D18/E18)*0.3+(1-F18/G18)*0.2)/0.9)</f>
        <v>0</v>
      </c>
    </row>
    <row r="19" spans="1:8">
      <c r="A19" s="5">
        <v>45398</v>
      </c>
      <c r="B19" s="6"/>
      <c r="C19" s="6"/>
      <c r="D19" s="6"/>
      <c r="E19" s="6"/>
      <c r="F19" s="6"/>
      <c r="G19" s="6"/>
      <c r="H19" s="7">
        <f>IF(OR(C19=0,E19=0,G19=0),0,((B19/C19)*0.4+(D19/E19)*0.3+(1-F19/G19)*0.2)/0.9)</f>
        <v>0</v>
      </c>
    </row>
    <row r="20" spans="1:8">
      <c r="A20" s="5">
        <v>45399</v>
      </c>
      <c r="B20" s="6"/>
      <c r="C20" s="6"/>
      <c r="D20" s="6"/>
      <c r="E20" s="6"/>
      <c r="F20" s="6"/>
      <c r="G20" s="6"/>
      <c r="H20" s="7">
        <f>IF(OR(C20=0,E20=0,G20=0),0,((B20/C20)*0.4+(D20/E20)*0.3+(1-F20/G20)*0.2)/0.9)</f>
        <v>0</v>
      </c>
    </row>
    <row r="21" spans="1:8">
      <c r="A21" s="5">
        <v>45400</v>
      </c>
      <c r="B21" s="6"/>
      <c r="C21" s="6"/>
      <c r="D21" s="6"/>
      <c r="E21" s="6"/>
      <c r="F21" s="6"/>
      <c r="G21" s="6"/>
      <c r="H21" s="7">
        <f>IF(OR(C21=0,E21=0,G21=0),0,((B21/C21)*0.4+(D21/E21)*0.3+(1-F21/G21)*0.2)/0.9)</f>
        <v>0</v>
      </c>
    </row>
    <row r="22" spans="1:8">
      <c r="A22" s="5">
        <v>45401</v>
      </c>
      <c r="B22" s="6"/>
      <c r="C22" s="6"/>
      <c r="D22" s="6"/>
      <c r="E22" s="6"/>
      <c r="F22" s="6"/>
      <c r="G22" s="6"/>
      <c r="H22" s="7">
        <f>IF(OR(C22=0,E22=0,G22=0),0,((B22/C22)*0.4+(D22/E22)*0.3+(1-F22/G22)*0.2)/0.9)</f>
        <v>0</v>
      </c>
    </row>
    <row r="23" spans="1:8">
      <c r="A23" s="5">
        <v>45402</v>
      </c>
      <c r="B23" s="6"/>
      <c r="C23" s="6"/>
      <c r="D23" s="6"/>
      <c r="E23" s="6"/>
      <c r="F23" s="6"/>
      <c r="G23" s="6"/>
      <c r="H23" s="7">
        <f>IF(OR(C23=0,E23=0,G23=0),0,((B23/C23)*0.4+(D23/E23)*0.3+(1-F23/G23)*0.2)/0.9)</f>
        <v>0</v>
      </c>
    </row>
    <row r="24" spans="1:8">
      <c r="A24" s="5">
        <v>45403</v>
      </c>
      <c r="B24" s="6"/>
      <c r="C24" s="6"/>
      <c r="D24" s="6"/>
      <c r="E24" s="6"/>
      <c r="F24" s="6"/>
      <c r="G24" s="6"/>
      <c r="H24" s="7">
        <f>IF(OR(C24=0,E24=0,G24=0),0,((B24/C24)*0.4+(D24/E24)*0.3+(1-F24/G24)*0.2)/0.9)</f>
        <v>0</v>
      </c>
    </row>
    <row r="25" spans="1:8">
      <c r="A25" s="5">
        <v>45404</v>
      </c>
      <c r="B25" s="6"/>
      <c r="C25" s="6"/>
      <c r="D25" s="6"/>
      <c r="E25" s="6"/>
      <c r="F25" s="6"/>
      <c r="G25" s="6"/>
      <c r="H25" s="7">
        <f>IF(OR(C25=0,E25=0,G25=0),0,((B25/C25)*0.4+(D25/E25)*0.3+(1-F25/G25)*0.2)/0.9)</f>
        <v>0</v>
      </c>
    </row>
    <row r="26" spans="1:8">
      <c r="A26" s="5">
        <v>45405</v>
      </c>
      <c r="B26" s="6"/>
      <c r="C26" s="6"/>
      <c r="D26" s="6"/>
      <c r="E26" s="6"/>
      <c r="F26" s="6"/>
      <c r="G26" s="6"/>
      <c r="H26" s="7">
        <f>IF(OR(C26=0,E26=0,G26=0),0,((B26/C26)*0.4+(D26/E26)*0.3+(1-F26/G26)*0.2)/0.9)</f>
        <v>0</v>
      </c>
    </row>
    <row r="27" spans="1:8">
      <c r="A27" s="5">
        <v>45406</v>
      </c>
      <c r="B27" s="6"/>
      <c r="C27" s="6"/>
      <c r="D27" s="6"/>
      <c r="E27" s="6"/>
      <c r="F27" s="6"/>
      <c r="G27" s="6"/>
      <c r="H27" s="7">
        <f>IF(OR(C27=0,E27=0,G27=0),0,((B27/C27)*0.4+(D27/E27)*0.3+(1-F27/G27)*0.2)/0.9)</f>
        <v>0</v>
      </c>
    </row>
    <row r="28" spans="1:8">
      <c r="A28" s="5">
        <v>45407</v>
      </c>
      <c r="B28" s="6"/>
      <c r="C28" s="6"/>
      <c r="D28" s="6"/>
      <c r="E28" s="6"/>
      <c r="F28" s="6"/>
      <c r="G28" s="6"/>
      <c r="H28" s="7">
        <f>IF(OR(C28=0,E28=0,G28=0),0,((B28/C28)*0.4+(D28/E28)*0.3+(1-F28/G28)*0.2)/0.9)</f>
        <v>0</v>
      </c>
    </row>
    <row r="29" spans="1:8">
      <c r="A29" s="5">
        <v>45408</v>
      </c>
      <c r="B29" s="6"/>
      <c r="C29" s="6"/>
      <c r="D29" s="6"/>
      <c r="E29" s="6"/>
      <c r="F29" s="6"/>
      <c r="G29" s="6"/>
      <c r="H29" s="7">
        <f>IF(OR(C29=0,E29=0,G29=0),0,((B29/C29)*0.4+(D29/E29)*0.3+(1-F29/G29)*0.2)/0.9)</f>
        <v>0</v>
      </c>
    </row>
    <row r="30" spans="1:8">
      <c r="A30" s="5">
        <v>45409</v>
      </c>
      <c r="B30" s="6"/>
      <c r="C30" s="6"/>
      <c r="D30" s="6"/>
      <c r="E30" s="6"/>
      <c r="F30" s="6"/>
      <c r="G30" s="6"/>
      <c r="H30" s="7">
        <f>IF(OR(C30=0,E30=0,G30=0),0,((B30/C30)*0.4+(D30/E30)*0.3+(1-F30/G30)*0.2)/0.9)</f>
        <v>0</v>
      </c>
    </row>
    <row r="31" spans="1:8">
      <c r="A31" s="5">
        <v>45410</v>
      </c>
      <c r="B31" s="6"/>
      <c r="C31" s="6"/>
      <c r="D31" s="6"/>
      <c r="E31" s="6"/>
      <c r="F31" s="6"/>
      <c r="G31" s="6"/>
      <c r="H31" s="7">
        <f>IF(OR(C31=0,E31=0,G31=0),0,((B31/C31)*0.4+(D31/E31)*0.3+(1-F31/G31)*0.2)/0.9)</f>
        <v>0</v>
      </c>
    </row>
    <row r="32" spans="1:8">
      <c r="A32" s="5">
        <v>45411</v>
      </c>
      <c r="B32" s="6"/>
      <c r="C32" s="6"/>
      <c r="D32" s="6"/>
      <c r="E32" s="6"/>
      <c r="F32" s="6"/>
      <c r="G32" s="6"/>
      <c r="H32" s="7">
        <f>IF(OR(C32=0,E32=0,G32=0),0,((B32/C32)*0.4+(D32/E32)*0.3+(1-F32/G32)*0.2)/0.9)</f>
        <v>0</v>
      </c>
    </row>
    <row r="33" spans="1:8">
      <c r="A33" s="5">
        <v>45412</v>
      </c>
      <c r="B33" s="6"/>
      <c r="C33" s="6"/>
      <c r="D33" s="6"/>
      <c r="E33" s="6"/>
      <c r="F33" s="6"/>
      <c r="G33" s="6"/>
      <c r="H33" s="7">
        <f>IF(OR(C33=0,E33=0,G33=0),0,((B33/C33)*0.4+(D33/E33)*0.3+(1-F33/G33)*0.2)/0.9)</f>
        <v>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8.7109375" customWidth="1"/>
    <col min="2" max="3" width="24.7109375" customWidth="1"/>
    <col min="4" max="4" width="18.7109375" customWidth="1"/>
    <col min="5" max="5" width="16.7109375" customWidth="1"/>
    <col min="6" max="6" width="22.7109375" customWidth="1"/>
  </cols>
  <sheetData>
    <row r="1" spans="1:6" ht="22" customHeight="1">
      <c r="A1" s="1" t="s">
        <v>30</v>
      </c>
      <c r="B1" s="1"/>
      <c r="C1" s="1"/>
      <c r="D1" s="1"/>
      <c r="E1" s="1"/>
      <c r="F1" s="1"/>
    </row>
    <row r="2" spans="1:6" ht="30" customHeight="1">
      <c r="A2" s="2" t="s">
        <v>1</v>
      </c>
      <c r="B2" s="2"/>
      <c r="C2" s="2"/>
      <c r="D2" s="2"/>
      <c r="E2" s="2"/>
      <c r="F2" s="2"/>
    </row>
    <row r="3" spans="1:6">
      <c r="A3" s="3" t="s">
        <v>31</v>
      </c>
      <c r="B3" s="3" t="s">
        <v>32</v>
      </c>
      <c r="C3" s="3" t="s">
        <v>33</v>
      </c>
      <c r="D3" s="3" t="s">
        <v>9</v>
      </c>
      <c r="E3" s="3" t="s">
        <v>10</v>
      </c>
      <c r="F3" s="4" t="s">
        <v>34</v>
      </c>
    </row>
    <row r="4" spans="1:6">
      <c r="A4" s="5">
        <v>45383</v>
      </c>
      <c r="B4" s="6"/>
      <c r="C4" s="6"/>
      <c r="D4" s="6"/>
      <c r="E4" s="6"/>
      <c r="F4" s="7">
        <f>IF(C4=0,0,B4/C4)</f>
        <v>0</v>
      </c>
    </row>
    <row r="5" spans="1:6">
      <c r="A5" s="5">
        <v>45390</v>
      </c>
      <c r="B5" s="6"/>
      <c r="C5" s="6"/>
      <c r="D5" s="6"/>
      <c r="E5" s="6"/>
      <c r="F5" s="7">
        <f>IF(C5=0,0,B5/C5)</f>
        <v>0</v>
      </c>
    </row>
    <row r="6" spans="1:6">
      <c r="A6" s="5">
        <v>45397</v>
      </c>
      <c r="B6" s="6"/>
      <c r="C6" s="6"/>
      <c r="D6" s="6"/>
      <c r="E6" s="6"/>
      <c r="F6" s="7">
        <f>IF(C6=0,0,B6/C6)</f>
        <v>0</v>
      </c>
    </row>
    <row r="7" spans="1:6">
      <c r="A7" s="5">
        <v>45404</v>
      </c>
      <c r="B7" s="6"/>
      <c r="C7" s="6"/>
      <c r="D7" s="6"/>
      <c r="E7" s="6"/>
      <c r="F7" s="7">
        <f>IF(C7=0,0,B7/C7)</f>
        <v>0</v>
      </c>
    </row>
    <row r="8" spans="1:6">
      <c r="A8" s="5">
        <v>45411</v>
      </c>
      <c r="B8" s="6"/>
      <c r="C8" s="6"/>
      <c r="D8" s="6"/>
      <c r="E8" s="6"/>
      <c r="F8" s="7">
        <f>IF(C8=0,0,B8/C8)</f>
        <v>0</v>
      </c>
    </row>
    <row r="9" spans="1:6">
      <c r="A9" s="5">
        <v>45418</v>
      </c>
      <c r="B9" s="6"/>
      <c r="C9" s="6"/>
      <c r="D9" s="6"/>
      <c r="E9" s="6"/>
      <c r="F9" s="7">
        <f>IF(C9=0,0,B9/C9)</f>
        <v>0</v>
      </c>
    </row>
    <row r="10" spans="1:6">
      <c r="A10" s="5">
        <v>45425</v>
      </c>
      <c r="B10" s="6"/>
      <c r="C10" s="6"/>
      <c r="D10" s="6"/>
      <c r="E10" s="6"/>
      <c r="F10" s="7">
        <f>IF(C10=0,0,B10/C10)</f>
        <v>0</v>
      </c>
    </row>
    <row r="11" spans="1:6">
      <c r="A11" s="5">
        <v>45432</v>
      </c>
      <c r="B11" s="6"/>
      <c r="C11" s="6"/>
      <c r="D11" s="6"/>
      <c r="E11" s="6"/>
      <c r="F11" s="7">
        <f>IF(C11=0,0,B11/C11)</f>
        <v>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cols>
    <col min="1" max="1" width="14.7109375" customWidth="1"/>
    <col min="2" max="2" width="18.7109375" customWidth="1"/>
    <col min="3" max="4" width="22.7109375" customWidth="1"/>
  </cols>
  <sheetData>
    <row r="1" spans="1:4" ht="22" customHeight="1">
      <c r="A1" s="1" t="s">
        <v>35</v>
      </c>
      <c r="B1" s="1"/>
      <c r="C1" s="1"/>
      <c r="D1" s="1"/>
    </row>
    <row r="2" spans="1:4" ht="30" customHeight="1">
      <c r="A2" s="2" t="s">
        <v>36</v>
      </c>
      <c r="B2" s="2"/>
      <c r="C2" s="2"/>
      <c r="D2" s="2"/>
    </row>
    <row r="3" spans="1:4">
      <c r="A3" s="3" t="s">
        <v>2</v>
      </c>
      <c r="B3" s="3" t="s">
        <v>37</v>
      </c>
      <c r="C3" s="3" t="s">
        <v>38</v>
      </c>
      <c r="D3" s="3" t="s">
        <v>39</v>
      </c>
    </row>
    <row r="4" spans="1:4">
      <c r="A4" s="5">
        <v>45383</v>
      </c>
      <c r="B4" s="6"/>
      <c r="C4" s="6"/>
      <c r="D4" s="6"/>
    </row>
    <row r="5" spans="1:4">
      <c r="A5" s="5">
        <v>45384</v>
      </c>
      <c r="B5" s="6"/>
      <c r="C5" s="6"/>
      <c r="D5" s="6"/>
    </row>
    <row r="6" spans="1:4">
      <c r="A6" s="5">
        <v>45385</v>
      </c>
      <c r="B6" s="6"/>
      <c r="C6" s="6"/>
      <c r="D6" s="6"/>
    </row>
    <row r="7" spans="1:4">
      <c r="A7" s="5">
        <v>45386</v>
      </c>
      <c r="B7" s="6"/>
      <c r="C7" s="6"/>
      <c r="D7" s="6"/>
    </row>
    <row r="8" spans="1:4">
      <c r="A8" s="5">
        <v>45387</v>
      </c>
      <c r="B8" s="6"/>
      <c r="C8" s="6"/>
      <c r="D8" s="6"/>
    </row>
    <row r="9" spans="1:4">
      <c r="A9" s="5">
        <v>45388</v>
      </c>
      <c r="B9" s="6"/>
      <c r="C9" s="6"/>
      <c r="D9" s="6"/>
    </row>
    <row r="10" spans="1:4">
      <c r="A10" s="5">
        <v>45389</v>
      </c>
      <c r="B10" s="6"/>
      <c r="C10" s="6"/>
      <c r="D10" s="6"/>
    </row>
    <row r="11" spans="1:4">
      <c r="A11" s="5">
        <v>45390</v>
      </c>
      <c r="B11" s="6"/>
      <c r="C11" s="6"/>
      <c r="D11" s="6"/>
    </row>
    <row r="12" spans="1:4">
      <c r="A12" s="5">
        <v>45391</v>
      </c>
      <c r="B12" s="6"/>
      <c r="C12" s="6"/>
      <c r="D12" s="6"/>
    </row>
    <row r="13" spans="1:4">
      <c r="A13" s="5">
        <v>45392</v>
      </c>
      <c r="B13" s="6"/>
      <c r="C13" s="6"/>
      <c r="D13" s="6"/>
    </row>
    <row r="14" spans="1:4">
      <c r="A14" s="5">
        <v>45393</v>
      </c>
      <c r="B14" s="6"/>
      <c r="C14" s="6"/>
      <c r="D14" s="6"/>
    </row>
    <row r="15" spans="1:4">
      <c r="A15" s="5">
        <v>45394</v>
      </c>
      <c r="B15" s="6"/>
      <c r="C15" s="6"/>
      <c r="D15" s="6"/>
    </row>
    <row r="16" spans="1:4">
      <c r="A16" s="5">
        <v>45395</v>
      </c>
      <c r="B16" s="6"/>
      <c r="C16" s="6"/>
      <c r="D16" s="6"/>
    </row>
    <row r="17" spans="1:4">
      <c r="A17" s="5">
        <v>45396</v>
      </c>
      <c r="B17" s="6"/>
      <c r="C17" s="6"/>
      <c r="D17" s="6"/>
    </row>
    <row r="18" spans="1:4">
      <c r="A18" s="5">
        <v>45397</v>
      </c>
      <c r="B18" s="6"/>
      <c r="C18" s="6"/>
      <c r="D18" s="6"/>
    </row>
    <row r="19" spans="1:4">
      <c r="A19" s="5">
        <v>45398</v>
      </c>
      <c r="B19" s="6"/>
      <c r="C19" s="6"/>
      <c r="D19" s="6"/>
    </row>
    <row r="20" spans="1:4">
      <c r="A20" s="5">
        <v>45399</v>
      </c>
      <c r="B20" s="6"/>
      <c r="C20" s="6"/>
      <c r="D20" s="6"/>
    </row>
    <row r="21" spans="1:4">
      <c r="A21" s="5">
        <v>45400</v>
      </c>
      <c r="B21" s="6"/>
      <c r="C21" s="6"/>
      <c r="D21" s="6"/>
    </row>
    <row r="22" spans="1:4">
      <c r="A22" s="5">
        <v>45401</v>
      </c>
      <c r="B22" s="6"/>
      <c r="C22" s="6"/>
      <c r="D22" s="6"/>
    </row>
    <row r="23" spans="1:4">
      <c r="A23" s="5">
        <v>45402</v>
      </c>
      <c r="B23" s="6"/>
      <c r="C23" s="6"/>
      <c r="D23" s="6"/>
    </row>
    <row r="24" spans="1:4">
      <c r="A24" s="5">
        <v>45403</v>
      </c>
      <c r="B24" s="6"/>
      <c r="C24" s="6"/>
      <c r="D24" s="6"/>
    </row>
    <row r="25" spans="1:4">
      <c r="A25" s="5">
        <v>45404</v>
      </c>
      <c r="B25" s="6"/>
      <c r="C25" s="6"/>
      <c r="D25" s="6"/>
    </row>
    <row r="26" spans="1:4">
      <c r="A26" s="5">
        <v>45405</v>
      </c>
      <c r="B26" s="6"/>
      <c r="C26" s="6"/>
      <c r="D26" s="6"/>
    </row>
    <row r="27" spans="1:4">
      <c r="A27" s="5">
        <v>45406</v>
      </c>
      <c r="B27" s="6"/>
      <c r="C27" s="6"/>
      <c r="D27" s="6"/>
    </row>
    <row r="28" spans="1:4">
      <c r="A28" s="5">
        <v>45407</v>
      </c>
      <c r="B28" s="6"/>
      <c r="C28" s="6"/>
      <c r="D28" s="6"/>
    </row>
    <row r="29" spans="1:4">
      <c r="A29" s="5">
        <v>45408</v>
      </c>
      <c r="B29" s="6"/>
      <c r="C29" s="6"/>
      <c r="D29" s="6"/>
    </row>
    <row r="30" spans="1:4">
      <c r="A30" s="5">
        <v>45409</v>
      </c>
      <c r="B30" s="6"/>
      <c r="C30" s="6"/>
      <c r="D30" s="6"/>
    </row>
    <row r="31" spans="1:4">
      <c r="A31" s="5">
        <v>45410</v>
      </c>
      <c r="B31" s="6"/>
      <c r="C31" s="6"/>
      <c r="D31" s="6"/>
    </row>
    <row r="32" spans="1:4">
      <c r="A32" s="5">
        <v>45411</v>
      </c>
      <c r="B32" s="6"/>
      <c r="C32" s="6"/>
      <c r="D32" s="6"/>
    </row>
    <row r="33" spans="1:4">
      <c r="A33" s="5">
        <v>45412</v>
      </c>
      <c r="B33" s="6"/>
      <c r="C33" s="6"/>
      <c r="D33" s="6"/>
    </row>
  </sheetData>
  <mergeCells count="2">
    <mergeCell ref="A1:D1"/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6" width="18.7109375" customWidth="1"/>
  </cols>
  <sheetData>
    <row r="1" spans="1:6" ht="22" customHeight="1">
      <c r="A1" s="1" t="s">
        <v>40</v>
      </c>
      <c r="B1" s="1"/>
      <c r="C1" s="1"/>
      <c r="D1" s="1"/>
      <c r="E1" s="1"/>
      <c r="F1" s="1"/>
    </row>
    <row r="2" spans="1:6">
      <c r="A2" s="3" t="s">
        <v>2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Financier</vt:lpstr>
      <vt:lpstr>Operationnel</vt:lpstr>
      <vt:lpstr>Social</vt:lpstr>
      <vt:lpstr>Fintech</vt:lpstr>
      <vt:lpstr>Discipline</vt:lpstr>
      <vt:lpstr>KPI Hebdo</vt:lpstr>
      <vt:lpstr>Rapport Voitures</vt:lpstr>
      <vt:lpstr>Bénéficiaires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2026-07-01T18:55:40Z</dcterms:created>
  <dcterms:modified xsi:type="dcterms:W3CDTF">2026-07-01T18:55:40Z</dcterms:modified>
</cp:coreProperties>
</file>