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ncier" sheetId="1" r:id="rId1"/>
    <sheet name="Operationnel" sheetId="2" r:id="rId2"/>
    <sheet name="Social" sheetId="3" r:id="rId3"/>
    <sheet name="Fintech" sheetId="4" r:id="rId4"/>
    <sheet name="Discipline" sheetId="5" r:id="rId5"/>
    <sheet name="KPI Hebdo" sheetId="6" r:id="rId6"/>
    <sheet name="Rapport Voitures" sheetId="7" r:id="rId7"/>
    <sheet name="Bénéficiaires" sheetId="8" r:id="rId8"/>
  </sheets>
  <calcPr calcId="124519" fullCalcOnLoad="1"/>
</workbook>
</file>

<file path=xl/sharedStrings.xml><?xml version="1.0" encoding="utf-8"?>
<sst xmlns="http://schemas.openxmlformats.org/spreadsheetml/2006/main" count="781" uniqueCount="151">
  <si>
    <t>FINANCIER - Donnees de remboursement</t>
  </si>
  <si>
    <t>🔵 Colonnes BLEUES = données à saisir    🟢 Colonnes VERTES = calculées automatiquement (ne pas modifier)</t>
  </si>
  <si>
    <t>date</t>
  </si>
  <si>
    <t>Montant total attendu (FCFA)</t>
  </si>
  <si>
    <t>Total collecté (FCFA)</t>
  </si>
  <si>
    <t>Nombre de bénéficiaires</t>
  </si>
  <si>
    <t>Taux de versement
(reçu / attendu)
[AUTO]</t>
  </si>
  <si>
    <t>Montant moyen / bénéf.
(FCFA)
[AUTO]</t>
  </si>
  <si>
    <t>OPERATIONNEL - Activite des voitures</t>
  </si>
  <si>
    <t>Voitures actives (nb)</t>
  </si>
  <si>
    <t>Total voitures (nb)</t>
  </si>
  <si>
    <t>Voitures en panne (nb)</t>
  </si>
  <si>
    <t>Voitures actives
(nombre)
[AUTO]</t>
  </si>
  <si>
    <t>Taux de voitures en panne
(panne / total)
[AUTO]</t>
  </si>
  <si>
    <t>SOCIAL - Impact social du programme</t>
  </si>
  <si>
    <t>Bénéficiaires actifs (nb)</t>
  </si>
  <si>
    <t>Bénéficiaires initial (nb)</t>
  </si>
  <si>
    <t>Revenus après projet (FCFA)</t>
  </si>
  <si>
    <t>Nombre bénéficiaires (nb)</t>
  </si>
  <si>
    <t>Taux de maintien
(actifs / initial)
[AUTO]</t>
  </si>
  <si>
    <t>Revenu moyen réel
(rev. après / bénéf.)
[AUTO]</t>
  </si>
  <si>
    <t>FINTECH - Yunus Pay &amp; transactions digitales</t>
  </si>
  <si>
    <t>Nombre de transactions (nb)</t>
  </si>
  <si>
    <t>Utilisateurs actifs (nb)</t>
  </si>
  <si>
    <t>DISCIPLINE - Score de discipline des beneficiaires</t>
  </si>
  <si>
    <t>Paiements à temps (nb)</t>
  </si>
  <si>
    <t>Paiements attendus (nb)</t>
  </si>
  <si>
    <t>Jours actifs (nb)</t>
  </si>
  <si>
    <t>Jours totaux (nb)</t>
  </si>
  <si>
    <t>Score discipline moyen
(40% pmt + 30% act. + 20% entr.)
[AUTO]</t>
  </si>
  <si>
    <t>KPI HEBDO - Indicateurs hebdomadaires essentiels</t>
  </si>
  <si>
    <t>Semaine (lundi)</t>
  </si>
  <si>
    <t>Total collecté semaine (FCFA)</t>
  </si>
  <si>
    <t>Montant attendu semaine (FCFA)</t>
  </si>
  <si>
    <t>Versement hebdomadaire
(reçu / attendu)
[AUTO]</t>
  </si>
  <si>
    <t>RAPPORT VOITURES - Versements par voiture</t>
  </si>
  <si>
    <t>Une ligne par voiture et par date. Exemple voiture_id: VOITURE-1002.</t>
  </si>
  <si>
    <t>voiture_id</t>
  </si>
  <si>
    <t>versement_attendu</t>
  </si>
  <si>
    <t>versement_recu</t>
  </si>
  <si>
    <t>VOITURE-1001</t>
  </si>
  <si>
    <t>VOITURE-1002</t>
  </si>
  <si>
    <t>VOITURE-1003</t>
  </si>
  <si>
    <t>VOITURE-1004</t>
  </si>
  <si>
    <t>VOITURE-1005</t>
  </si>
  <si>
    <t>VOITURE-1006</t>
  </si>
  <si>
    <t>VOITURE-1007</t>
  </si>
  <si>
    <t>VOITURE-1008</t>
  </si>
  <si>
    <t>VOITURE-1009</t>
  </si>
  <si>
    <t>VOITURE-1010</t>
  </si>
  <si>
    <t>VOITURE-1011</t>
  </si>
  <si>
    <t>VOITURE-1012</t>
  </si>
  <si>
    <t>VOITURE-1013</t>
  </si>
  <si>
    <t>VOITURE-1014</t>
  </si>
  <si>
    <t>VOITURE-1015</t>
  </si>
  <si>
    <t>VOITURE-1016</t>
  </si>
  <si>
    <t>VOITURE-1017</t>
  </si>
  <si>
    <t>VOITURE-1018</t>
  </si>
  <si>
    <t>VOITURE-1019</t>
  </si>
  <si>
    <t>VOITURE-1020</t>
  </si>
  <si>
    <t>BÉNÉFICIAIRES - Répertoire des bénéficiaires</t>
  </si>
  <si>
    <t>Nom</t>
  </si>
  <si>
    <t>Téléphone</t>
  </si>
  <si>
    <t>Voiture</t>
  </si>
  <si>
    <t>Zone/Quartier</t>
  </si>
  <si>
    <t>Date_Integration</t>
  </si>
  <si>
    <t>2024-04-01 00:00:00</t>
  </si>
  <si>
    <t>Bénéficiaire 1</t>
  </si>
  <si>
    <t>+237 670 110 220</t>
  </si>
  <si>
    <t>Bonaberi</t>
  </si>
  <si>
    <t>2023-01-01</t>
  </si>
  <si>
    <t>2024-04-02 00:00:00</t>
  </si>
  <si>
    <t>Bénéficiaire 2</t>
  </si>
  <si>
    <t>+237 670 110 221</t>
  </si>
  <si>
    <t>Akwa</t>
  </si>
  <si>
    <t>2023-01-08</t>
  </si>
  <si>
    <t>2024-04-03 00:00:00</t>
  </si>
  <si>
    <t>Bénéficiaire 3</t>
  </si>
  <si>
    <t>+237 670 110 222</t>
  </si>
  <si>
    <t>Deido</t>
  </si>
  <si>
    <t>2023-01-15</t>
  </si>
  <si>
    <t>2024-04-04 00:00:00</t>
  </si>
  <si>
    <t>Bénéficiaire 4</t>
  </si>
  <si>
    <t>+237 670 110 223</t>
  </si>
  <si>
    <t>Makepe</t>
  </si>
  <si>
    <t>2023-01-22</t>
  </si>
  <si>
    <t>2024-04-05 00:00:00</t>
  </si>
  <si>
    <t>Bénéficiaire 5</t>
  </si>
  <si>
    <t>+237 670 110 224</t>
  </si>
  <si>
    <t>Bonamoussadi</t>
  </si>
  <si>
    <t>2023-01-29</t>
  </si>
  <si>
    <t>2024-04-06 00:00:00</t>
  </si>
  <si>
    <t>Bénéficiaire 6</t>
  </si>
  <si>
    <t>+237 670 110 225</t>
  </si>
  <si>
    <t>2023-02-05</t>
  </si>
  <si>
    <t>2024-04-07 00:00:00</t>
  </si>
  <si>
    <t>Bénéficiaire 7</t>
  </si>
  <si>
    <t>+237 670 110 226</t>
  </si>
  <si>
    <t>2023-02-12</t>
  </si>
  <si>
    <t>2024-04-08 00:00:00</t>
  </si>
  <si>
    <t>Bénéficiaire 8</t>
  </si>
  <si>
    <t>+237 670 110 227</t>
  </si>
  <si>
    <t>2023-02-19</t>
  </si>
  <si>
    <t>2024-04-09 00:00:00</t>
  </si>
  <si>
    <t>Bénéficiaire 9</t>
  </si>
  <si>
    <t>+237 670 110 228</t>
  </si>
  <si>
    <t>2023-02-26</t>
  </si>
  <si>
    <t>2024-04-10 00:00:00</t>
  </si>
  <si>
    <t>Bénéficiaire 10</t>
  </si>
  <si>
    <t>+237 670 110 229</t>
  </si>
  <si>
    <t>2023-03-05</t>
  </si>
  <si>
    <t>2024-04-11 00:00:00</t>
  </si>
  <si>
    <t>Bénéficiaire 11</t>
  </si>
  <si>
    <t>+237 670 110 230</t>
  </si>
  <si>
    <t>2023-03-12</t>
  </si>
  <si>
    <t>2024-04-12 00:00:00</t>
  </si>
  <si>
    <t>Bénéficiaire 12</t>
  </si>
  <si>
    <t>+237 670 110 231</t>
  </si>
  <si>
    <t>2023-03-19</t>
  </si>
  <si>
    <t>2024-04-13 00:00:00</t>
  </si>
  <si>
    <t>Bénéficiaire 13</t>
  </si>
  <si>
    <t>+237 670 110 232</t>
  </si>
  <si>
    <t>2023-03-26</t>
  </si>
  <si>
    <t>2024-04-14 00:00:00</t>
  </si>
  <si>
    <t>Bénéficiaire 14</t>
  </si>
  <si>
    <t>+237 670 110 233</t>
  </si>
  <si>
    <t>2023-04-02</t>
  </si>
  <si>
    <t>2024-04-15 00:00:00</t>
  </si>
  <si>
    <t>Bénéficiaire 15</t>
  </si>
  <si>
    <t>+237 670 110 234</t>
  </si>
  <si>
    <t>2023-04-09</t>
  </si>
  <si>
    <t>2024-04-16 00:00:00</t>
  </si>
  <si>
    <t>Bénéficiaire 16</t>
  </si>
  <si>
    <t>+237 670 110 235</t>
  </si>
  <si>
    <t>2023-04-16</t>
  </si>
  <si>
    <t>2024-04-17 00:00:00</t>
  </si>
  <si>
    <t>Bénéficiaire 17</t>
  </si>
  <si>
    <t>+237 670 110 236</t>
  </si>
  <si>
    <t>2023-04-23</t>
  </si>
  <si>
    <t>2024-04-18 00:00:00</t>
  </si>
  <si>
    <t>Bénéficiaire 18</t>
  </si>
  <si>
    <t>+237 670 110 237</t>
  </si>
  <si>
    <t>2023-04-30</t>
  </si>
  <si>
    <t>2024-04-19 00:00:00</t>
  </si>
  <si>
    <t>Bénéficiaire 19</t>
  </si>
  <si>
    <t>+237 670 110 238</t>
  </si>
  <si>
    <t>2023-05-07</t>
  </si>
  <si>
    <t>2024-04-20 00:00:00</t>
  </si>
  <si>
    <t>Bénéficiaire 20</t>
  </si>
  <si>
    <t>+237 670 110 239</t>
  </si>
  <si>
    <t>2023-05-14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</si>
</sst>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"/>
    <numFmt numFmtId="166" formatCode="0.00%"/>
  </numFmts>
  <fonts count="6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7663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FE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164" fontId="0" fillId="6" borderId="1" xfId="0" applyNumberFormat="1" applyFill="1" applyBorder="1"/>
    <xf numFmtId="165" fontId="0" fillId="6" borderId="1" xfId="0" applyNumberFormat="1" applyFill="1" applyBorder="1"/>
    <xf numFmtId="166" fontId="5" fillId="7" borderId="1" xfId="0" applyNumberFormat="1" applyFont="1" applyFill="1" applyBorder="1"/>
    <xf numFmtId="165" fontId="5" fillId="7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abSelected="1" workbookViewId="0"/>
  </sheetViews>
  <sheetFormatPr defaultRowHeight="15"/>
  <cols>
    <col min="1" max="1" width="14.7109375" customWidth="1"/>
    <col min="2" max="3" width="22.7109375" customWidth="1"/>
    <col min="4" max="4" width="20.7109375" customWidth="1"/>
    <col min="5" max="6" width="22.7109375" customWidth="1"/>
  </cols>
  <sheetData>
    <row r="1" spans="1:6" ht="22" customHeight="1">
      <c r="A1" s="1" t="s">
        <v>0</v>
      </c>
      <c r="B1" s="1"/>
      <c r="C1" s="1"/>
      <c r="D1" s="1"/>
      <c r="E1" s="1"/>
      <c r="F1" s="1"/>
    </row>
    <row r="2" spans="1:6" ht="30" customHeight="1">
      <c r="A2" s="2" t="s">
        <v>1</v>
      </c>
      <c r="B2" s="2"/>
      <c r="C2" s="2"/>
      <c r="D2" s="2"/>
      <c r="E2" s="2"/>
      <c r="F2" s="2"/>
    </row>
    <row r="3" spans="1:6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</row>
    <row r="4" spans="1:6">
      <c r="A4" s="5">
        <v>45383</v>
      </c>
      <c r="B4" s="6">
        <v>455720.4468684659</v>
      </c>
      <c r="C4" s="6">
        <v>512685.3956575575</v>
      </c>
      <c r="D4" s="6">
        <v>50</v>
      </c>
      <c r="E4" s="7">
        <f>IF(B4=0,0,C4/B4)</f>
        <v>0</v>
      </c>
      <c r="F4" s="8">
        <f>IF(D4=0,0,C4/D4)</f>
        <v>0</v>
      </c>
    </row>
    <row r="5" spans="1:6">
      <c r="A5" s="5">
        <v>45384</v>
      </c>
      <c r="B5" s="6">
        <v>402620.1348409287</v>
      </c>
      <c r="C5" s="6">
        <v>528228.0220994102</v>
      </c>
      <c r="D5" s="6">
        <v>50</v>
      </c>
      <c r="E5" s="7">
        <f>IF(B5=0,0,C5/B5)</f>
        <v>0</v>
      </c>
      <c r="F5" s="8">
        <f>IF(D5=0,0,C5/D5)</f>
        <v>0</v>
      </c>
    </row>
    <row r="6" spans="1:6">
      <c r="A6" s="5">
        <v>45385</v>
      </c>
      <c r="B6" s="6">
        <v>512503.5373525648</v>
      </c>
      <c r="C6" s="6">
        <v>480510.8018664997</v>
      </c>
      <c r="D6" s="6">
        <v>50</v>
      </c>
      <c r="E6" s="7">
        <f>IF(B6=0,0,C6/B6)</f>
        <v>0</v>
      </c>
      <c r="F6" s="8">
        <f>IF(D6=0,0,C6/D6)</f>
        <v>0</v>
      </c>
    </row>
    <row r="7" spans="1:6">
      <c r="A7" s="5">
        <v>45386</v>
      </c>
      <c r="B7" s="6">
        <v>462216.658014279</v>
      </c>
      <c r="C7" s="6">
        <v>466355.4615098136</v>
      </c>
      <c r="D7" s="6">
        <v>50</v>
      </c>
      <c r="E7" s="7">
        <f>IF(B7=0,0,C7/B7)</f>
        <v>0</v>
      </c>
      <c r="F7" s="8">
        <f>IF(D7=0,0,C7/D7)</f>
        <v>0</v>
      </c>
    </row>
    <row r="8" spans="1:6">
      <c r="A8" s="5">
        <v>45387</v>
      </c>
      <c r="B8" s="6">
        <v>478266.7756567763</v>
      </c>
      <c r="C8" s="6">
        <v>492799.1025961827</v>
      </c>
      <c r="D8" s="6">
        <v>50</v>
      </c>
      <c r="E8" s="7">
        <f>IF(B8=0,0,C8/B8)</f>
        <v>0</v>
      </c>
      <c r="F8" s="8">
        <f>IF(D8=0,0,C8/D8)</f>
        <v>0</v>
      </c>
    </row>
    <row r="9" spans="1:6">
      <c r="A9" s="5">
        <v>45388</v>
      </c>
      <c r="B9" s="6">
        <v>508452.1311962018</v>
      </c>
      <c r="C9" s="6">
        <v>394076.3032313616</v>
      </c>
      <c r="D9" s="6">
        <v>50</v>
      </c>
      <c r="E9" s="7">
        <f>IF(B9=0,0,C9/B9)</f>
        <v>0</v>
      </c>
      <c r="F9" s="8">
        <f>IF(D9=0,0,C9/D9)</f>
        <v>0</v>
      </c>
    </row>
    <row r="10" spans="1:6">
      <c r="A10" s="5">
        <v>45389</v>
      </c>
      <c r="B10" s="6">
        <v>543666.3460202799</v>
      </c>
      <c r="C10" s="6">
        <v>486497.5026914352</v>
      </c>
      <c r="D10" s="6">
        <v>50</v>
      </c>
      <c r="E10" s="7">
        <f>IF(B10=0,0,C10/B10)</f>
        <v>0</v>
      </c>
      <c r="F10" s="8">
        <f>IF(D10=0,0,C10/D10)</f>
        <v>0</v>
      </c>
    </row>
    <row r="11" spans="1:6">
      <c r="A11" s="5">
        <v>45390</v>
      </c>
      <c r="B11" s="6">
        <v>605689.5338309485</v>
      </c>
      <c r="C11" s="6">
        <v>507795.2784300468</v>
      </c>
      <c r="D11" s="6">
        <v>50</v>
      </c>
      <c r="E11" s="7">
        <f>IF(B11=0,0,C11/B11)</f>
        <v>0</v>
      </c>
      <c r="F11" s="8">
        <f>IF(D11=0,0,C11/D11)</f>
        <v>0</v>
      </c>
    </row>
    <row r="12" spans="1:6">
      <c r="A12" s="5">
        <v>45391</v>
      </c>
      <c r="B12" s="6">
        <v>450115.701494911</v>
      </c>
      <c r="C12" s="6">
        <v>439571.5221587788</v>
      </c>
      <c r="D12" s="6">
        <v>50</v>
      </c>
      <c r="E12" s="7">
        <f>IF(B12=0,0,C12/B12)</f>
        <v>0</v>
      </c>
      <c r="F12" s="8">
        <f>IF(D12=0,0,C12/D12)</f>
        <v>0</v>
      </c>
    </row>
    <row r="13" spans="1:6">
      <c r="A13" s="5">
        <v>45392</v>
      </c>
      <c r="B13" s="6">
        <v>477103.06112819</v>
      </c>
      <c r="C13" s="6">
        <v>460805.5038523521</v>
      </c>
      <c r="D13" s="6">
        <v>50</v>
      </c>
      <c r="E13" s="7">
        <f>IF(B13=0,0,C13/B13)</f>
        <v>0</v>
      </c>
      <c r="F13" s="8">
        <f>IF(D13=0,0,C13/D13)</f>
        <v>0</v>
      </c>
    </row>
    <row r="14" spans="1:6">
      <c r="A14" s="5">
        <v>45393</v>
      </c>
      <c r="B14" s="6">
        <v>641619.8492024251</v>
      </c>
      <c r="C14" s="6">
        <v>543744.2673319232</v>
      </c>
      <c r="D14" s="6">
        <v>50</v>
      </c>
      <c r="E14" s="7">
        <f>IF(B14=0,0,C14/B14)</f>
        <v>0</v>
      </c>
      <c r="F14" s="8">
        <f>IF(D14=0,0,C14/D14)</f>
        <v>0</v>
      </c>
    </row>
    <row r="15" spans="1:6">
      <c r="A15" s="5">
        <v>45394</v>
      </c>
      <c r="B15" s="6">
        <v>574574.7361961589</v>
      </c>
      <c r="C15" s="6">
        <v>463435.3000715112</v>
      </c>
      <c r="D15" s="6">
        <v>50</v>
      </c>
      <c r="E15" s="7">
        <f>IF(B15=0,0,C15/B15)</f>
        <v>0</v>
      </c>
      <c r="F15" s="8">
        <f>IF(D15=0,0,C15/D15)</f>
        <v>0</v>
      </c>
    </row>
    <row r="16" spans="1:6">
      <c r="A16" s="5">
        <v>45395</v>
      </c>
      <c r="B16" s="6">
        <v>583625.7953935547</v>
      </c>
      <c r="C16" s="6">
        <v>533128.1073722922</v>
      </c>
      <c r="D16" s="6">
        <v>50</v>
      </c>
      <c r="E16" s="7">
        <f>IF(B16=0,0,C16/B16)</f>
        <v>0</v>
      </c>
      <c r="F16" s="8">
        <f>IF(D16=0,0,C16/D16)</f>
        <v>0</v>
      </c>
    </row>
    <row r="17" spans="1:6">
      <c r="A17" s="5">
        <v>45396</v>
      </c>
      <c r="B17" s="6">
        <v>567592.8165256261</v>
      </c>
      <c r="C17" s="6">
        <v>452740.0078450878</v>
      </c>
      <c r="D17" s="6">
        <v>50</v>
      </c>
      <c r="E17" s="7">
        <f>IF(B17=0,0,C17/B17)</f>
        <v>0</v>
      </c>
      <c r="F17" s="8">
        <f>IF(D17=0,0,C17/D17)</f>
        <v>0</v>
      </c>
    </row>
    <row r="18" spans="1:6">
      <c r="A18" s="5">
        <v>45397</v>
      </c>
      <c r="B18" s="6">
        <v>451633.8764454523</v>
      </c>
      <c r="C18" s="6">
        <v>445428.2540958459</v>
      </c>
      <c r="D18" s="6">
        <v>50</v>
      </c>
      <c r="E18" s="7">
        <f>IF(B18=0,0,C18/B18)</f>
        <v>0</v>
      </c>
      <c r="F18" s="8">
        <f>IF(D18=0,0,C18/D18)</f>
        <v>0</v>
      </c>
    </row>
    <row r="19" spans="1:6">
      <c r="A19" s="5">
        <v>45398</v>
      </c>
      <c r="B19" s="6">
        <v>521171.9719689122</v>
      </c>
      <c r="C19" s="6">
        <v>458681.7814949171</v>
      </c>
      <c r="D19" s="6">
        <v>50</v>
      </c>
      <c r="E19" s="7">
        <f>IF(B19=0,0,C19/B19)</f>
        <v>0</v>
      </c>
      <c r="F19" s="8">
        <f>IF(D19=0,0,C19/D19)</f>
        <v>0</v>
      </c>
    </row>
    <row r="20" spans="1:6">
      <c r="A20" s="5">
        <v>45399</v>
      </c>
      <c r="B20" s="6">
        <v>443490.9023677296</v>
      </c>
      <c r="C20" s="6">
        <v>589080.8231910176</v>
      </c>
      <c r="D20" s="6">
        <v>50</v>
      </c>
      <c r="E20" s="7">
        <f>IF(B20=0,0,C20/B20)</f>
        <v>0</v>
      </c>
      <c r="F20" s="8">
        <f>IF(D20=0,0,C20/D20)</f>
        <v>0</v>
      </c>
    </row>
    <row r="21" spans="1:6">
      <c r="A21" s="5">
        <v>45400</v>
      </c>
      <c r="B21" s="6">
        <v>489307.8886058952</v>
      </c>
      <c r="C21" s="6">
        <v>511487.6220122146</v>
      </c>
      <c r="D21" s="6">
        <v>50</v>
      </c>
      <c r="E21" s="7">
        <f>IF(B21=0,0,C21/B21)</f>
        <v>0</v>
      </c>
      <c r="F21" s="8">
        <f>IF(D21=0,0,C21/D21)</f>
        <v>0</v>
      </c>
    </row>
    <row r="22" spans="1:6">
      <c r="A22" s="5">
        <v>45401</v>
      </c>
      <c r="B22" s="6">
        <v>472488.8055949351</v>
      </c>
      <c r="C22" s="6">
        <v>501850.140886278</v>
      </c>
      <c r="D22" s="6">
        <v>50</v>
      </c>
      <c r="E22" s="7">
        <f>IF(B22=0,0,C22/B22)</f>
        <v>0</v>
      </c>
      <c r="F22" s="8">
        <f>IF(D22=0,0,C22/D22)</f>
        <v>0</v>
      </c>
    </row>
    <row r="23" spans="1:6">
      <c r="A23" s="5">
        <v>45402</v>
      </c>
      <c r="B23" s="6">
        <v>494400.3117182906</v>
      </c>
      <c r="C23" s="6">
        <v>549584.6919958923</v>
      </c>
      <c r="D23" s="6">
        <v>50</v>
      </c>
      <c r="E23" s="7">
        <f>IF(B23=0,0,C23/B23)</f>
        <v>0</v>
      </c>
      <c r="F23" s="8">
        <f>IF(D23=0,0,C23/D23)</f>
        <v>0</v>
      </c>
    </row>
    <row r="24" spans="1:6">
      <c r="A24" s="5">
        <v>45403</v>
      </c>
      <c r="B24" s="6">
        <v>547774.9920154079</v>
      </c>
      <c r="C24" s="6">
        <v>518219.6173980405</v>
      </c>
      <c r="D24" s="6">
        <v>50</v>
      </c>
      <c r="E24" s="7">
        <f>IF(B24=0,0,C24/B24)</f>
        <v>0</v>
      </c>
      <c r="F24" s="8">
        <f>IF(D24=0,0,C24/D24)</f>
        <v>0</v>
      </c>
    </row>
    <row r="25" spans="1:6">
      <c r="A25" s="5">
        <v>45404</v>
      </c>
      <c r="B25" s="6">
        <v>446649.5701357386</v>
      </c>
      <c r="C25" s="6">
        <v>524833.5470242341</v>
      </c>
      <c r="D25" s="6">
        <v>50</v>
      </c>
      <c r="E25" s="7">
        <f>IF(B25=0,0,C25/B25)</f>
        <v>0</v>
      </c>
      <c r="F25" s="8">
        <f>IF(D25=0,0,C25/D25)</f>
        <v>0</v>
      </c>
    </row>
    <row r="26" spans="1:6">
      <c r="A26" s="5">
        <v>45405</v>
      </c>
      <c r="B26" s="6">
        <v>420970.0953309066</v>
      </c>
      <c r="C26" s="6">
        <v>429861.8624089912</v>
      </c>
      <c r="D26" s="6">
        <v>50</v>
      </c>
      <c r="E26" s="7">
        <f>IF(B26=0,0,C26/B26)</f>
        <v>0</v>
      </c>
      <c r="F26" s="8">
        <f>IF(D26=0,0,C26/D26)</f>
        <v>0</v>
      </c>
    </row>
    <row r="27" spans="1:6">
      <c r="A27" s="5">
        <v>45406</v>
      </c>
      <c r="B27" s="6">
        <v>483048.0876535612</v>
      </c>
      <c r="C27" s="6">
        <v>590563.7352347348</v>
      </c>
      <c r="D27" s="6">
        <v>50</v>
      </c>
      <c r="E27" s="7">
        <f>IF(B27=0,0,C27/B27)</f>
        <v>0</v>
      </c>
      <c r="F27" s="8">
        <f>IF(D27=0,0,C27/D27)</f>
        <v>0</v>
      </c>
    </row>
    <row r="28" spans="1:6">
      <c r="A28" s="5">
        <v>45407</v>
      </c>
      <c r="B28" s="6">
        <v>444728.049812108</v>
      </c>
      <c r="C28" s="6">
        <v>519635.1674086481</v>
      </c>
      <c r="D28" s="6">
        <v>50</v>
      </c>
      <c r="E28" s="7">
        <f>IF(B28=0,0,C28/B28)</f>
        <v>0</v>
      </c>
      <c r="F28" s="8">
        <f>IF(D28=0,0,C28/D28)</f>
        <v>0</v>
      </c>
    </row>
    <row r="29" spans="1:6">
      <c r="A29" s="5">
        <v>45408</v>
      </c>
      <c r="B29" s="6">
        <v>480337.774437193</v>
      </c>
      <c r="C29" s="6">
        <v>559910.5248249936</v>
      </c>
      <c r="D29" s="6">
        <v>50</v>
      </c>
      <c r="E29" s="7">
        <f>IF(B29=0,0,C29/B29)</f>
        <v>0</v>
      </c>
      <c r="F29" s="8">
        <f>IF(D29=0,0,C29/D29)</f>
        <v>0</v>
      </c>
    </row>
    <row r="30" spans="1:6">
      <c r="A30" s="5">
        <v>45409</v>
      </c>
      <c r="B30" s="6">
        <v>555576.0933181664</v>
      </c>
      <c r="C30" s="6">
        <v>473082.6655688331</v>
      </c>
      <c r="D30" s="6">
        <v>50</v>
      </c>
      <c r="E30" s="7">
        <f>IF(B30=0,0,C30/B30)</f>
        <v>0</v>
      </c>
      <c r="F30" s="8">
        <f>IF(D30=0,0,C30/D30)</f>
        <v>0</v>
      </c>
    </row>
    <row r="31" spans="1:6">
      <c r="A31" s="5">
        <v>45410</v>
      </c>
      <c r="B31" s="6">
        <v>488797.3751648954</v>
      </c>
      <c r="C31" s="6">
        <v>513962.2077492645</v>
      </c>
      <c r="D31" s="6">
        <v>50</v>
      </c>
      <c r="E31" s="7">
        <f>IF(B31=0,0,C31/B31)</f>
        <v>0</v>
      </c>
      <c r="F31" s="8">
        <f>IF(D31=0,0,C31/D31)</f>
        <v>0</v>
      </c>
    </row>
    <row r="32" spans="1:6">
      <c r="A32" s="5">
        <v>45411</v>
      </c>
      <c r="B32" s="6">
        <v>408338.6663679129</v>
      </c>
      <c r="C32" s="6">
        <v>422252.9687032304</v>
      </c>
      <c r="D32" s="6">
        <v>50</v>
      </c>
      <c r="E32" s="7">
        <f>IF(B32=0,0,C32/B32)</f>
        <v>0</v>
      </c>
      <c r="F32" s="8">
        <f>IF(D32=0,0,C32/D32)</f>
        <v>0</v>
      </c>
    </row>
    <row r="33" spans="1:6">
      <c r="A33" s="5">
        <v>45412</v>
      </c>
      <c r="B33" s="6">
        <v>461961.4931447355</v>
      </c>
      <c r="C33" s="6">
        <v>483829.2886531191</v>
      </c>
      <c r="D33" s="6">
        <v>50</v>
      </c>
      <c r="E33" s="7">
        <f>IF(B33=0,0,C33/B33)</f>
        <v>0</v>
      </c>
      <c r="F33" s="8">
        <f>IF(D33=0,0,C33/D33)</f>
        <v>0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FormatPr defaultRowHeight="15"/>
  <cols>
    <col min="1" max="1" width="14.7109375" customWidth="1"/>
    <col min="2" max="2" width="18.7109375" customWidth="1"/>
    <col min="3" max="3" width="16.7109375" customWidth="1"/>
    <col min="4" max="4" width="18.7109375" customWidth="1"/>
    <col min="5" max="6" width="22.7109375" customWidth="1"/>
  </cols>
  <sheetData>
    <row r="1" spans="1:6" ht="22" customHeight="1">
      <c r="A1" s="1" t="s">
        <v>8</v>
      </c>
      <c r="B1" s="1"/>
      <c r="C1" s="1"/>
      <c r="D1" s="1"/>
      <c r="E1" s="1"/>
      <c r="F1" s="1"/>
    </row>
    <row r="2" spans="1:6" ht="30" customHeight="1">
      <c r="A2" s="2" t="s">
        <v>1</v>
      </c>
      <c r="B2" s="2"/>
      <c r="C2" s="2"/>
      <c r="D2" s="2"/>
      <c r="E2" s="2"/>
      <c r="F2" s="2"/>
    </row>
    <row r="3" spans="1:6">
      <c r="A3" s="3" t="s">
        <v>2</v>
      </c>
      <c r="B3" s="3" t="s">
        <v>9</v>
      </c>
      <c r="C3" s="3" t="s">
        <v>10</v>
      </c>
      <c r="D3" s="3" t="s">
        <v>11</v>
      </c>
      <c r="E3" s="4" t="s">
        <v>12</v>
      </c>
      <c r="F3" s="4" t="s">
        <v>13</v>
      </c>
    </row>
    <row r="4" spans="1:6">
      <c r="A4" s="5">
        <v>45383</v>
      </c>
      <c r="B4" s="6">
        <v>49</v>
      </c>
      <c r="C4" s="6">
        <v>50</v>
      </c>
      <c r="D4" s="6">
        <v>3</v>
      </c>
      <c r="E4" s="8">
        <f>B4</f>
        <v>0</v>
      </c>
      <c r="F4" s="7">
        <f>IF(C4=0,0,D4/C4)</f>
        <v>0</v>
      </c>
    </row>
    <row r="5" spans="1:6">
      <c r="A5" s="5">
        <v>45384</v>
      </c>
      <c r="B5" s="6">
        <v>50</v>
      </c>
      <c r="C5" s="6">
        <v>50</v>
      </c>
      <c r="D5" s="6">
        <v>1</v>
      </c>
      <c r="E5" s="8">
        <f>B5</f>
        <v>0</v>
      </c>
      <c r="F5" s="7">
        <f>IF(C5=0,0,D5/C5)</f>
        <v>0</v>
      </c>
    </row>
    <row r="6" spans="1:6">
      <c r="A6" s="5">
        <v>45385</v>
      </c>
      <c r="B6" s="6">
        <v>47</v>
      </c>
      <c r="C6" s="6">
        <v>50</v>
      </c>
      <c r="D6" s="6">
        <v>1</v>
      </c>
      <c r="E6" s="8">
        <f>B6</f>
        <v>0</v>
      </c>
      <c r="F6" s="7">
        <f>IF(C6=0,0,D6/C6)</f>
        <v>0</v>
      </c>
    </row>
    <row r="7" spans="1:6">
      <c r="A7" s="5">
        <v>45386</v>
      </c>
      <c r="B7" s="6">
        <v>46</v>
      </c>
      <c r="C7" s="6">
        <v>50</v>
      </c>
      <c r="D7" s="6">
        <v>1</v>
      </c>
      <c r="E7" s="8">
        <f>B7</f>
        <v>0</v>
      </c>
      <c r="F7" s="7">
        <f>IF(C7=0,0,D7/C7)</f>
        <v>0</v>
      </c>
    </row>
    <row r="8" spans="1:6">
      <c r="A8" s="5">
        <v>45387</v>
      </c>
      <c r="B8" s="6">
        <v>47</v>
      </c>
      <c r="C8" s="6">
        <v>50</v>
      </c>
      <c r="D8" s="6">
        <v>3</v>
      </c>
      <c r="E8" s="8">
        <f>B8</f>
        <v>0</v>
      </c>
      <c r="F8" s="7">
        <f>IF(C8=0,0,D8/C8)</f>
        <v>0</v>
      </c>
    </row>
    <row r="9" spans="1:6">
      <c r="A9" s="5">
        <v>45388</v>
      </c>
      <c r="B9" s="6">
        <v>50</v>
      </c>
      <c r="C9" s="6">
        <v>50</v>
      </c>
      <c r="D9" s="6">
        <v>2</v>
      </c>
      <c r="E9" s="8">
        <f>B9</f>
        <v>0</v>
      </c>
      <c r="F9" s="7">
        <f>IF(C9=0,0,D9/C9)</f>
        <v>0</v>
      </c>
    </row>
    <row r="10" spans="1:6">
      <c r="A10" s="5">
        <v>45389</v>
      </c>
      <c r="B10" s="6">
        <v>49</v>
      </c>
      <c r="C10" s="6">
        <v>50</v>
      </c>
      <c r="D10" s="6">
        <v>1</v>
      </c>
      <c r="E10" s="8">
        <f>B10</f>
        <v>0</v>
      </c>
      <c r="F10" s="7">
        <f>IF(C10=0,0,D10/C10)</f>
        <v>0</v>
      </c>
    </row>
    <row r="11" spans="1:6">
      <c r="A11" s="5">
        <v>45390</v>
      </c>
      <c r="B11" s="6">
        <v>46</v>
      </c>
      <c r="C11" s="6">
        <v>50</v>
      </c>
      <c r="D11" s="6">
        <v>2</v>
      </c>
      <c r="E11" s="8">
        <f>B11</f>
        <v>0</v>
      </c>
      <c r="F11" s="7">
        <f>IF(C11=0,0,D11/C11)</f>
        <v>0</v>
      </c>
    </row>
    <row r="12" spans="1:6">
      <c r="A12" s="5">
        <v>45391</v>
      </c>
      <c r="B12" s="6">
        <v>48</v>
      </c>
      <c r="C12" s="6">
        <v>50</v>
      </c>
      <c r="D12" s="6">
        <v>2</v>
      </c>
      <c r="E12" s="8">
        <f>B12</f>
        <v>0</v>
      </c>
      <c r="F12" s="7">
        <f>IF(C12=0,0,D12/C12)</f>
        <v>0</v>
      </c>
    </row>
    <row r="13" spans="1:6">
      <c r="A13" s="5">
        <v>45392</v>
      </c>
      <c r="B13" s="6">
        <v>47</v>
      </c>
      <c r="C13" s="6">
        <v>50</v>
      </c>
      <c r="D13" s="6">
        <v>2</v>
      </c>
      <c r="E13" s="8">
        <f>B13</f>
        <v>0</v>
      </c>
      <c r="F13" s="7">
        <f>IF(C13=0,0,D13/C13)</f>
        <v>0</v>
      </c>
    </row>
    <row r="14" spans="1:6">
      <c r="A14" s="5">
        <v>45393</v>
      </c>
      <c r="B14" s="6">
        <v>47</v>
      </c>
      <c r="C14" s="6">
        <v>50</v>
      </c>
      <c r="D14" s="6">
        <v>0</v>
      </c>
      <c r="E14" s="8">
        <f>B14</f>
        <v>0</v>
      </c>
      <c r="F14" s="7">
        <f>IF(C14=0,0,D14/C14)</f>
        <v>0</v>
      </c>
    </row>
    <row r="15" spans="1:6">
      <c r="A15" s="5">
        <v>45394</v>
      </c>
      <c r="B15" s="6">
        <v>49</v>
      </c>
      <c r="C15" s="6">
        <v>50</v>
      </c>
      <c r="D15" s="6">
        <v>0</v>
      </c>
      <c r="E15" s="8">
        <f>B15</f>
        <v>0</v>
      </c>
      <c r="F15" s="7">
        <f>IF(C15=0,0,D15/C15)</f>
        <v>0</v>
      </c>
    </row>
    <row r="16" spans="1:6">
      <c r="A16" s="5">
        <v>45395</v>
      </c>
      <c r="B16" s="6">
        <v>48</v>
      </c>
      <c r="C16" s="6">
        <v>50</v>
      </c>
      <c r="D16" s="6">
        <v>1</v>
      </c>
      <c r="E16" s="8">
        <f>B16</f>
        <v>0</v>
      </c>
      <c r="F16" s="7">
        <f>IF(C16=0,0,D16/C16)</f>
        <v>0</v>
      </c>
    </row>
    <row r="17" spans="1:6">
      <c r="A17" s="5">
        <v>45396</v>
      </c>
      <c r="B17" s="6">
        <v>50</v>
      </c>
      <c r="C17" s="6">
        <v>50</v>
      </c>
      <c r="D17" s="6">
        <v>2</v>
      </c>
      <c r="E17" s="8">
        <f>B17</f>
        <v>0</v>
      </c>
      <c r="F17" s="7">
        <f>IF(C17=0,0,D17/C17)</f>
        <v>0</v>
      </c>
    </row>
    <row r="18" spans="1:6">
      <c r="A18" s="5">
        <v>45397</v>
      </c>
      <c r="B18" s="6">
        <v>48</v>
      </c>
      <c r="C18" s="6">
        <v>50</v>
      </c>
      <c r="D18" s="6">
        <v>2</v>
      </c>
      <c r="E18" s="8">
        <f>B18</f>
        <v>0</v>
      </c>
      <c r="F18" s="7">
        <f>IF(C18=0,0,D18/C18)</f>
        <v>0</v>
      </c>
    </row>
    <row r="19" spans="1:6">
      <c r="A19" s="5">
        <v>45398</v>
      </c>
      <c r="B19" s="6">
        <v>48</v>
      </c>
      <c r="C19" s="6">
        <v>50</v>
      </c>
      <c r="D19" s="6">
        <v>1</v>
      </c>
      <c r="E19" s="8">
        <f>B19</f>
        <v>0</v>
      </c>
      <c r="F19" s="7">
        <f>IF(C19=0,0,D19/C19)</f>
        <v>0</v>
      </c>
    </row>
    <row r="20" spans="1:6">
      <c r="A20" s="5">
        <v>45399</v>
      </c>
      <c r="B20" s="6">
        <v>50</v>
      </c>
      <c r="C20" s="6">
        <v>50</v>
      </c>
      <c r="D20" s="6">
        <v>2</v>
      </c>
      <c r="E20" s="8">
        <f>B20</f>
        <v>0</v>
      </c>
      <c r="F20" s="7">
        <f>IF(C20=0,0,D20/C20)</f>
        <v>0</v>
      </c>
    </row>
    <row r="21" spans="1:6">
      <c r="A21" s="5">
        <v>45400</v>
      </c>
      <c r="B21" s="6">
        <v>47</v>
      </c>
      <c r="C21" s="6">
        <v>50</v>
      </c>
      <c r="D21" s="6">
        <v>1</v>
      </c>
      <c r="E21" s="8">
        <f>B21</f>
        <v>0</v>
      </c>
      <c r="F21" s="7">
        <f>IF(C21=0,0,D21/C21)</f>
        <v>0</v>
      </c>
    </row>
    <row r="22" spans="1:6">
      <c r="A22" s="5">
        <v>45401</v>
      </c>
      <c r="B22" s="6">
        <v>51</v>
      </c>
      <c r="C22" s="6">
        <v>50</v>
      </c>
      <c r="D22" s="6">
        <v>1</v>
      </c>
      <c r="E22" s="8">
        <f>B22</f>
        <v>0</v>
      </c>
      <c r="F22" s="7">
        <f>IF(C22=0,0,D22/C22)</f>
        <v>0</v>
      </c>
    </row>
    <row r="23" spans="1:6">
      <c r="A23" s="5">
        <v>45402</v>
      </c>
      <c r="B23" s="6">
        <v>48</v>
      </c>
      <c r="C23" s="6">
        <v>50</v>
      </c>
      <c r="D23" s="6">
        <v>2</v>
      </c>
      <c r="E23" s="8">
        <f>B23</f>
        <v>0</v>
      </c>
      <c r="F23" s="7">
        <f>IF(C23=0,0,D23/C23)</f>
        <v>0</v>
      </c>
    </row>
    <row r="24" spans="1:6">
      <c r="A24" s="5">
        <v>45403</v>
      </c>
      <c r="B24" s="6">
        <v>50</v>
      </c>
      <c r="C24" s="6">
        <v>50</v>
      </c>
      <c r="D24" s="6">
        <v>1</v>
      </c>
      <c r="E24" s="8">
        <f>B24</f>
        <v>0</v>
      </c>
      <c r="F24" s="7">
        <f>IF(C24=0,0,D24/C24)</f>
        <v>0</v>
      </c>
    </row>
    <row r="25" spans="1:6">
      <c r="A25" s="5">
        <v>45404</v>
      </c>
      <c r="B25" s="6">
        <v>48</v>
      </c>
      <c r="C25" s="6">
        <v>50</v>
      </c>
      <c r="D25" s="6">
        <v>0</v>
      </c>
      <c r="E25" s="8">
        <f>B25</f>
        <v>0</v>
      </c>
      <c r="F25" s="7">
        <f>IF(C25=0,0,D25/C25)</f>
        <v>0</v>
      </c>
    </row>
    <row r="26" spans="1:6">
      <c r="A26" s="5">
        <v>45405</v>
      </c>
      <c r="B26" s="6">
        <v>50</v>
      </c>
      <c r="C26" s="6">
        <v>50</v>
      </c>
      <c r="D26" s="6">
        <v>1</v>
      </c>
      <c r="E26" s="8">
        <f>B26</f>
        <v>0</v>
      </c>
      <c r="F26" s="7">
        <f>IF(C26=0,0,D26/C26)</f>
        <v>0</v>
      </c>
    </row>
    <row r="27" spans="1:6">
      <c r="A27" s="5">
        <v>45406</v>
      </c>
      <c r="B27" s="6">
        <v>48</v>
      </c>
      <c r="C27" s="6">
        <v>50</v>
      </c>
      <c r="D27" s="6">
        <v>1</v>
      </c>
      <c r="E27" s="8">
        <f>B27</f>
        <v>0</v>
      </c>
      <c r="F27" s="7">
        <f>IF(C27=0,0,D27/C27)</f>
        <v>0</v>
      </c>
    </row>
    <row r="28" spans="1:6">
      <c r="A28" s="5">
        <v>45407</v>
      </c>
      <c r="B28" s="6">
        <v>50</v>
      </c>
      <c r="C28" s="6">
        <v>50</v>
      </c>
      <c r="D28" s="6">
        <v>0</v>
      </c>
      <c r="E28" s="8">
        <f>B28</f>
        <v>0</v>
      </c>
      <c r="F28" s="7">
        <f>IF(C28=0,0,D28/C28)</f>
        <v>0</v>
      </c>
    </row>
    <row r="29" spans="1:6">
      <c r="A29" s="5">
        <v>45408</v>
      </c>
      <c r="B29" s="6">
        <v>49</v>
      </c>
      <c r="C29" s="6">
        <v>50</v>
      </c>
      <c r="D29" s="6">
        <v>1</v>
      </c>
      <c r="E29" s="8">
        <f>B29</f>
        <v>0</v>
      </c>
      <c r="F29" s="7">
        <f>IF(C29=0,0,D29/C29)</f>
        <v>0</v>
      </c>
    </row>
    <row r="30" spans="1:6">
      <c r="A30" s="5">
        <v>45409</v>
      </c>
      <c r="B30" s="6">
        <v>49</v>
      </c>
      <c r="C30" s="6">
        <v>50</v>
      </c>
      <c r="D30" s="6">
        <v>1</v>
      </c>
      <c r="E30" s="8">
        <f>B30</f>
        <v>0</v>
      </c>
      <c r="F30" s="7">
        <f>IF(C30=0,0,D30/C30)</f>
        <v>0</v>
      </c>
    </row>
    <row r="31" spans="1:6">
      <c r="A31" s="5">
        <v>45410</v>
      </c>
      <c r="B31" s="6">
        <v>48</v>
      </c>
      <c r="C31" s="6">
        <v>50</v>
      </c>
      <c r="D31" s="6">
        <v>2</v>
      </c>
      <c r="E31" s="8">
        <f>B31</f>
        <v>0</v>
      </c>
      <c r="F31" s="7">
        <f>IF(C31=0,0,D31/C31)</f>
        <v>0</v>
      </c>
    </row>
    <row r="32" spans="1:6">
      <c r="A32" s="5">
        <v>45411</v>
      </c>
      <c r="B32" s="6">
        <v>45</v>
      </c>
      <c r="C32" s="6">
        <v>50</v>
      </c>
      <c r="D32" s="6">
        <v>0</v>
      </c>
      <c r="E32" s="8">
        <f>B32</f>
        <v>0</v>
      </c>
      <c r="F32" s="7">
        <f>IF(C32=0,0,D32/C32)</f>
        <v>0</v>
      </c>
    </row>
    <row r="33" spans="1:6">
      <c r="A33" s="5">
        <v>45412</v>
      </c>
      <c r="B33" s="6">
        <v>49</v>
      </c>
      <c r="C33" s="6">
        <v>50</v>
      </c>
      <c r="D33" s="6">
        <v>2</v>
      </c>
      <c r="E33" s="8">
        <f>B33</f>
        <v>0</v>
      </c>
      <c r="F33" s="7">
        <f>IF(C33=0,0,D33/C33)</f>
        <v>0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sheetFormatPr defaultRowHeight="15"/>
  <cols>
    <col min="1" max="1" width="14.7109375" customWidth="1"/>
    <col min="2" max="3" width="20.7109375" customWidth="1"/>
    <col min="4" max="4" width="22.7109375" customWidth="1"/>
    <col min="5" max="5" width="20.7109375" customWidth="1"/>
    <col min="6" max="7" width="22.7109375" customWidth="1"/>
  </cols>
  <sheetData>
    <row r="1" spans="1:7" ht="22" customHeight="1">
      <c r="A1" s="1" t="s">
        <v>14</v>
      </c>
      <c r="B1" s="1"/>
      <c r="C1" s="1"/>
      <c r="D1" s="1"/>
      <c r="E1" s="1"/>
      <c r="F1" s="1"/>
      <c r="G1" s="1"/>
    </row>
    <row r="2" spans="1:7" ht="30" customHeight="1">
      <c r="A2" s="2" t="s">
        <v>1</v>
      </c>
      <c r="B2" s="2"/>
      <c r="C2" s="2"/>
      <c r="D2" s="2"/>
      <c r="E2" s="2"/>
      <c r="F2" s="2"/>
      <c r="G2" s="2"/>
    </row>
    <row r="3" spans="1:7">
      <c r="A3" s="3" t="s">
        <v>2</v>
      </c>
      <c r="B3" s="3" t="s">
        <v>15</v>
      </c>
      <c r="C3" s="3" t="s">
        <v>16</v>
      </c>
      <c r="D3" s="3" t="s">
        <v>17</v>
      </c>
      <c r="E3" s="3" t="s">
        <v>18</v>
      </c>
      <c r="F3" s="4" t="s">
        <v>19</v>
      </c>
      <c r="G3" s="4" t="s">
        <v>20</v>
      </c>
    </row>
    <row r="4" spans="1:7">
      <c r="A4" s="5">
        <v>45383</v>
      </c>
      <c r="B4" s="6">
        <v>51</v>
      </c>
      <c r="C4" s="6">
        <v>50</v>
      </c>
      <c r="D4" s="6">
        <v>146128.373271299</v>
      </c>
      <c r="E4" s="6">
        <v>50</v>
      </c>
      <c r="F4" s="7">
        <f>IF(C4=0,0,B4/C4)</f>
        <v>0</v>
      </c>
      <c r="G4" s="8">
        <f>IF(E4=0,0,D4/E4)</f>
        <v>0</v>
      </c>
    </row>
    <row r="5" spans="1:7">
      <c r="A5" s="5">
        <v>45384</v>
      </c>
      <c r="B5" s="6">
        <v>49</v>
      </c>
      <c r="C5" s="6">
        <v>50</v>
      </c>
      <c r="D5" s="6">
        <v>133392.7589000073</v>
      </c>
      <c r="E5" s="6">
        <v>50</v>
      </c>
      <c r="F5" s="7">
        <f>IF(C5=0,0,B5/C5)</f>
        <v>0</v>
      </c>
      <c r="G5" s="8">
        <f>IF(E5=0,0,D5/E5)</f>
        <v>0</v>
      </c>
    </row>
    <row r="6" spans="1:7">
      <c r="A6" s="5">
        <v>45385</v>
      </c>
      <c r="B6" s="6">
        <v>48</v>
      </c>
      <c r="C6" s="6">
        <v>50</v>
      </c>
      <c r="D6" s="6">
        <v>153802.7429241995</v>
      </c>
      <c r="E6" s="6">
        <v>50</v>
      </c>
      <c r="F6" s="7">
        <f>IF(C6=0,0,B6/C6)</f>
        <v>0</v>
      </c>
      <c r="G6" s="8">
        <f>IF(E6=0,0,D6/E6)</f>
        <v>0</v>
      </c>
    </row>
    <row r="7" spans="1:7">
      <c r="A7" s="5">
        <v>45386</v>
      </c>
      <c r="B7" s="6">
        <v>50</v>
      </c>
      <c r="C7" s="6">
        <v>50</v>
      </c>
      <c r="D7" s="6">
        <v>136731.7096722212</v>
      </c>
      <c r="E7" s="6">
        <v>50</v>
      </c>
      <c r="F7" s="7">
        <f>IF(C7=0,0,B7/C7)</f>
        <v>0</v>
      </c>
      <c r="G7" s="8">
        <f>IF(E7=0,0,D7/E7)</f>
        <v>0</v>
      </c>
    </row>
    <row r="8" spans="1:7">
      <c r="A8" s="5">
        <v>45387</v>
      </c>
      <c r="B8" s="6">
        <v>50</v>
      </c>
      <c r="C8" s="6">
        <v>50</v>
      </c>
      <c r="D8" s="6">
        <v>142198.8559667577</v>
      </c>
      <c r="E8" s="6">
        <v>50</v>
      </c>
      <c r="F8" s="7">
        <f>IF(C8=0,0,B8/C8)</f>
        <v>0</v>
      </c>
      <c r="G8" s="8">
        <f>IF(E8=0,0,D8/E8)</f>
        <v>0</v>
      </c>
    </row>
    <row r="9" spans="1:7">
      <c r="A9" s="5">
        <v>45388</v>
      </c>
      <c r="B9" s="6">
        <v>43</v>
      </c>
      <c r="C9" s="6">
        <v>50</v>
      </c>
      <c r="D9" s="6">
        <v>166940.4702303895</v>
      </c>
      <c r="E9" s="6">
        <v>50</v>
      </c>
      <c r="F9" s="7">
        <f>IF(C9=0,0,B9/C9)</f>
        <v>0</v>
      </c>
      <c r="G9" s="8">
        <f>IF(E9=0,0,D9/E9)</f>
        <v>0</v>
      </c>
    </row>
    <row r="10" spans="1:7">
      <c r="A10" s="5">
        <v>45389</v>
      </c>
      <c r="B10" s="6">
        <v>50</v>
      </c>
      <c r="C10" s="6">
        <v>50</v>
      </c>
      <c r="D10" s="6">
        <v>155916.2888374512</v>
      </c>
      <c r="E10" s="6">
        <v>50</v>
      </c>
      <c r="F10" s="7">
        <f>IF(C10=0,0,B10/C10)</f>
        <v>0</v>
      </c>
      <c r="G10" s="8">
        <f>IF(E10=0,0,D10/E10)</f>
        <v>0</v>
      </c>
    </row>
    <row r="11" spans="1:7">
      <c r="A11" s="5">
        <v>45390</v>
      </c>
      <c r="B11" s="6">
        <v>51</v>
      </c>
      <c r="C11" s="6">
        <v>50</v>
      </c>
      <c r="D11" s="6">
        <v>143807.9328792707</v>
      </c>
      <c r="E11" s="6">
        <v>50</v>
      </c>
      <c r="F11" s="7">
        <f>IF(C11=0,0,B11/C11)</f>
        <v>0</v>
      </c>
      <c r="G11" s="8">
        <f>IF(E11=0,0,D11/E11)</f>
        <v>0</v>
      </c>
    </row>
    <row r="12" spans="1:7">
      <c r="A12" s="5">
        <v>45391</v>
      </c>
      <c r="B12" s="6">
        <v>46</v>
      </c>
      <c r="C12" s="6">
        <v>50</v>
      </c>
      <c r="D12" s="6">
        <v>154582.8245995487</v>
      </c>
      <c r="E12" s="6">
        <v>50</v>
      </c>
      <c r="F12" s="7">
        <f>IF(C12=0,0,B12/C12)</f>
        <v>0</v>
      </c>
      <c r="G12" s="8">
        <f>IF(E12=0,0,D12/E12)</f>
        <v>0</v>
      </c>
    </row>
    <row r="13" spans="1:7">
      <c r="A13" s="5">
        <v>45392</v>
      </c>
      <c r="B13" s="6">
        <v>48</v>
      </c>
      <c r="C13" s="6">
        <v>50</v>
      </c>
      <c r="D13" s="6">
        <v>144232.6493436476</v>
      </c>
      <c r="E13" s="6">
        <v>50</v>
      </c>
      <c r="F13" s="7">
        <f>IF(C13=0,0,B13/C13)</f>
        <v>0</v>
      </c>
      <c r="G13" s="8">
        <f>IF(E13=0,0,D13/E13)</f>
        <v>0</v>
      </c>
    </row>
    <row r="14" spans="1:7">
      <c r="A14" s="5">
        <v>45393</v>
      </c>
      <c r="B14" s="6">
        <v>49</v>
      </c>
      <c r="C14" s="6">
        <v>50</v>
      </c>
      <c r="D14" s="6">
        <v>126037.9930780115</v>
      </c>
      <c r="E14" s="6">
        <v>50</v>
      </c>
      <c r="F14" s="7">
        <f>IF(C14=0,0,B14/C14)</f>
        <v>0</v>
      </c>
      <c r="G14" s="8">
        <f>IF(E14=0,0,D14/E14)</f>
        <v>0</v>
      </c>
    </row>
    <row r="15" spans="1:7">
      <c r="A15" s="5">
        <v>45394</v>
      </c>
      <c r="B15" s="6">
        <v>47</v>
      </c>
      <c r="C15" s="6">
        <v>50</v>
      </c>
      <c r="D15" s="6">
        <v>144283.5287529448</v>
      </c>
      <c r="E15" s="6">
        <v>50</v>
      </c>
      <c r="F15" s="7">
        <f>IF(C15=0,0,B15/C15)</f>
        <v>0</v>
      </c>
      <c r="G15" s="8">
        <f>IF(E15=0,0,D15/E15)</f>
        <v>0</v>
      </c>
    </row>
    <row r="16" spans="1:7">
      <c r="A16" s="5">
        <v>45395</v>
      </c>
      <c r="B16" s="6">
        <v>51</v>
      </c>
      <c r="C16" s="6">
        <v>50</v>
      </c>
      <c r="D16" s="6">
        <v>130685.022837381</v>
      </c>
      <c r="E16" s="6">
        <v>50</v>
      </c>
      <c r="F16" s="7">
        <f>IF(C16=0,0,B16/C16)</f>
        <v>0</v>
      </c>
      <c r="G16" s="8">
        <f>IF(E16=0,0,D16/E16)</f>
        <v>0</v>
      </c>
    </row>
    <row r="17" spans="1:7">
      <c r="A17" s="5">
        <v>45396</v>
      </c>
      <c r="B17" s="6">
        <v>49</v>
      </c>
      <c r="C17" s="6">
        <v>50</v>
      </c>
      <c r="D17" s="6">
        <v>127300.2083849238</v>
      </c>
      <c r="E17" s="6">
        <v>50</v>
      </c>
      <c r="F17" s="7">
        <f>IF(C17=0,0,B17/C17)</f>
        <v>0</v>
      </c>
      <c r="G17" s="8">
        <f>IF(E17=0,0,D17/E17)</f>
        <v>0</v>
      </c>
    </row>
    <row r="18" spans="1:7">
      <c r="A18" s="5">
        <v>45397</v>
      </c>
      <c r="B18" s="6">
        <v>51</v>
      </c>
      <c r="C18" s="6">
        <v>50</v>
      </c>
      <c r="D18" s="6">
        <v>126206.9304367343</v>
      </c>
      <c r="E18" s="6">
        <v>50</v>
      </c>
      <c r="F18" s="7">
        <f>IF(C18=0,0,B18/C18)</f>
        <v>0</v>
      </c>
      <c r="G18" s="8">
        <f>IF(E18=0,0,D18/E18)</f>
        <v>0</v>
      </c>
    </row>
    <row r="19" spans="1:7">
      <c r="A19" s="5">
        <v>45398</v>
      </c>
      <c r="B19" s="6">
        <v>54</v>
      </c>
      <c r="C19" s="6">
        <v>50</v>
      </c>
      <c r="D19" s="6">
        <v>157437.3955219228</v>
      </c>
      <c r="E19" s="6">
        <v>50</v>
      </c>
      <c r="F19" s="7">
        <f>IF(C19=0,0,B19/C19)</f>
        <v>0</v>
      </c>
      <c r="G19" s="8">
        <f>IF(E19=0,0,D19/E19)</f>
        <v>0</v>
      </c>
    </row>
    <row r="20" spans="1:7">
      <c r="A20" s="5">
        <v>45399</v>
      </c>
      <c r="B20" s="6">
        <v>48</v>
      </c>
      <c r="C20" s="6">
        <v>50</v>
      </c>
      <c r="D20" s="6">
        <v>165813.8458145751</v>
      </c>
      <c r="E20" s="6">
        <v>50</v>
      </c>
      <c r="F20" s="7">
        <f>IF(C20=0,0,B20/C20)</f>
        <v>0</v>
      </c>
      <c r="G20" s="8">
        <f>IF(E20=0,0,D20/E20)</f>
        <v>0</v>
      </c>
    </row>
    <row r="21" spans="1:7">
      <c r="A21" s="5">
        <v>45400</v>
      </c>
      <c r="B21" s="6">
        <v>50</v>
      </c>
      <c r="C21" s="6">
        <v>50</v>
      </c>
      <c r="D21" s="6">
        <v>141427.0021752401</v>
      </c>
      <c r="E21" s="6">
        <v>50</v>
      </c>
      <c r="F21" s="7">
        <f>IF(C21=0,0,B21/C21)</f>
        <v>0</v>
      </c>
      <c r="G21" s="8">
        <f>IF(E21=0,0,D21/E21)</f>
        <v>0</v>
      </c>
    </row>
    <row r="22" spans="1:7">
      <c r="A22" s="5">
        <v>45401</v>
      </c>
      <c r="B22" s="6">
        <v>52</v>
      </c>
      <c r="C22" s="6">
        <v>50</v>
      </c>
      <c r="D22" s="6">
        <v>141411.8037997501</v>
      </c>
      <c r="E22" s="6">
        <v>50</v>
      </c>
      <c r="F22" s="7">
        <f>IF(C22=0,0,B22/C22)</f>
        <v>0</v>
      </c>
      <c r="G22" s="8">
        <f>IF(E22=0,0,D22/E22)</f>
        <v>0</v>
      </c>
    </row>
    <row r="23" spans="1:7">
      <c r="A23" s="5">
        <v>45402</v>
      </c>
      <c r="B23" s="6">
        <v>47</v>
      </c>
      <c r="C23" s="6">
        <v>50</v>
      </c>
      <c r="D23" s="6">
        <v>156607.3782725797</v>
      </c>
      <c r="E23" s="6">
        <v>50</v>
      </c>
      <c r="F23" s="7">
        <f>IF(C23=0,0,B23/C23)</f>
        <v>0</v>
      </c>
      <c r="G23" s="8">
        <f>IF(E23=0,0,D23/E23)</f>
        <v>0</v>
      </c>
    </row>
    <row r="24" spans="1:7">
      <c r="A24" s="5">
        <v>45403</v>
      </c>
      <c r="B24" s="6">
        <v>51</v>
      </c>
      <c r="C24" s="6">
        <v>50</v>
      </c>
      <c r="D24" s="6">
        <v>149392.271668992</v>
      </c>
      <c r="E24" s="6">
        <v>50</v>
      </c>
      <c r="F24" s="7">
        <f>IF(C24=0,0,B24/C24)</f>
        <v>0</v>
      </c>
      <c r="G24" s="8">
        <f>IF(E24=0,0,D24/E24)</f>
        <v>0</v>
      </c>
    </row>
    <row r="25" spans="1:7">
      <c r="A25" s="5">
        <v>45404</v>
      </c>
      <c r="B25" s="6">
        <v>43</v>
      </c>
      <c r="C25" s="6">
        <v>50</v>
      </c>
      <c r="D25" s="6">
        <v>133582.7141331666</v>
      </c>
      <c r="E25" s="6">
        <v>50</v>
      </c>
      <c r="F25" s="7">
        <f>IF(C25=0,0,B25/C25)</f>
        <v>0</v>
      </c>
      <c r="G25" s="8">
        <f>IF(E25=0,0,D25/E25)</f>
        <v>0</v>
      </c>
    </row>
    <row r="26" spans="1:7">
      <c r="A26" s="5">
        <v>45405</v>
      </c>
      <c r="B26" s="6">
        <v>48</v>
      </c>
      <c r="C26" s="6">
        <v>50</v>
      </c>
      <c r="D26" s="6">
        <v>145186.6837615674</v>
      </c>
      <c r="E26" s="6">
        <v>50</v>
      </c>
      <c r="F26" s="7">
        <f>IF(C26=0,0,B26/C26)</f>
        <v>0</v>
      </c>
      <c r="G26" s="8">
        <f>IF(E26=0,0,D26/E26)</f>
        <v>0</v>
      </c>
    </row>
    <row r="27" spans="1:7">
      <c r="A27" s="5">
        <v>45406</v>
      </c>
      <c r="B27" s="6">
        <v>48</v>
      </c>
      <c r="C27" s="6">
        <v>50</v>
      </c>
      <c r="D27" s="6">
        <v>155903.5077085207</v>
      </c>
      <c r="E27" s="6">
        <v>50</v>
      </c>
      <c r="F27" s="7">
        <f>IF(C27=0,0,B27/C27)</f>
        <v>0</v>
      </c>
      <c r="G27" s="8">
        <f>IF(E27=0,0,D27/E27)</f>
        <v>0</v>
      </c>
    </row>
    <row r="28" spans="1:7">
      <c r="A28" s="5">
        <v>45407</v>
      </c>
      <c r="B28" s="6">
        <v>49</v>
      </c>
      <c r="C28" s="6">
        <v>50</v>
      </c>
      <c r="D28" s="6">
        <v>126887.4652152325</v>
      </c>
      <c r="E28" s="6">
        <v>50</v>
      </c>
      <c r="F28" s="7">
        <f>IF(C28=0,0,B28/C28)</f>
        <v>0</v>
      </c>
      <c r="G28" s="8">
        <f>IF(E28=0,0,D28/E28)</f>
        <v>0</v>
      </c>
    </row>
    <row r="29" spans="1:7">
      <c r="A29" s="5">
        <v>45408</v>
      </c>
      <c r="B29" s="6">
        <v>47</v>
      </c>
      <c r="C29" s="6">
        <v>50</v>
      </c>
      <c r="D29" s="6">
        <v>116380.2099973183</v>
      </c>
      <c r="E29" s="6">
        <v>50</v>
      </c>
      <c r="F29" s="7">
        <f>IF(C29=0,0,B29/C29)</f>
        <v>0</v>
      </c>
      <c r="G29" s="8">
        <f>IF(E29=0,0,D29/E29)</f>
        <v>0</v>
      </c>
    </row>
    <row r="30" spans="1:7">
      <c r="A30" s="5">
        <v>45409</v>
      </c>
      <c r="B30" s="6">
        <v>49</v>
      </c>
      <c r="C30" s="6">
        <v>50</v>
      </c>
      <c r="D30" s="6">
        <v>126783.8302591759</v>
      </c>
      <c r="E30" s="6">
        <v>50</v>
      </c>
      <c r="F30" s="7">
        <f>IF(C30=0,0,B30/C30)</f>
        <v>0</v>
      </c>
      <c r="G30" s="8">
        <f>IF(E30=0,0,D30/E30)</f>
        <v>0</v>
      </c>
    </row>
    <row r="31" spans="1:7">
      <c r="A31" s="5">
        <v>45410</v>
      </c>
      <c r="B31" s="6">
        <v>47</v>
      </c>
      <c r="C31" s="6">
        <v>50</v>
      </c>
      <c r="D31" s="6">
        <v>139499.2784998131</v>
      </c>
      <c r="E31" s="6">
        <v>50</v>
      </c>
      <c r="F31" s="7">
        <f>IF(C31=0,0,B31/C31)</f>
        <v>0</v>
      </c>
      <c r="G31" s="8">
        <f>IF(E31=0,0,D31/E31)</f>
        <v>0</v>
      </c>
    </row>
    <row r="32" spans="1:7">
      <c r="A32" s="5">
        <v>45411</v>
      </c>
      <c r="B32" s="6">
        <v>48</v>
      </c>
      <c r="C32" s="6">
        <v>50</v>
      </c>
      <c r="D32" s="6">
        <v>135189.2904239919</v>
      </c>
      <c r="E32" s="6">
        <v>50</v>
      </c>
      <c r="F32" s="7">
        <f>IF(C32=0,0,B32/C32)</f>
        <v>0</v>
      </c>
      <c r="G32" s="8">
        <f>IF(E32=0,0,D32/E32)</f>
        <v>0</v>
      </c>
    </row>
    <row r="33" spans="1:7">
      <c r="A33" s="5">
        <v>45412</v>
      </c>
      <c r="B33" s="6">
        <v>48</v>
      </c>
      <c r="C33" s="6">
        <v>50</v>
      </c>
      <c r="D33" s="6">
        <v>148515.5850321198</v>
      </c>
      <c r="E33" s="6">
        <v>50</v>
      </c>
      <c r="F33" s="7">
        <f>IF(C33=0,0,B33/C33)</f>
        <v>0</v>
      </c>
      <c r="G33" s="8">
        <f>IF(E33=0,0,D33/E33)</f>
        <v>0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3"/>
  <sheetViews>
    <sheetView workbookViewId="0"/>
  </sheetViews>
  <sheetFormatPr defaultRowHeight="15"/>
  <cols>
    <col min="1" max="1" width="14.7109375" customWidth="1"/>
    <col min="2" max="3" width="20.7109375" customWidth="1"/>
  </cols>
  <sheetData>
    <row r="1" spans="1:3" ht="22" customHeight="1">
      <c r="A1" s="1" t="s">
        <v>21</v>
      </c>
      <c r="B1" s="1"/>
      <c r="C1" s="1"/>
    </row>
    <row r="2" spans="1:3" ht="30" customHeight="1">
      <c r="A2" s="2" t="s">
        <v>1</v>
      </c>
      <c r="B2" s="2"/>
      <c r="C2" s="2"/>
    </row>
    <row r="3" spans="1:3">
      <c r="A3" s="3" t="s">
        <v>2</v>
      </c>
      <c r="B3" s="3" t="s">
        <v>22</v>
      </c>
      <c r="C3" s="3" t="s">
        <v>23</v>
      </c>
    </row>
    <row r="4" spans="1:3">
      <c r="A4" s="5">
        <v>45383</v>
      </c>
      <c r="B4" s="6">
        <v>62</v>
      </c>
      <c r="C4" s="6">
        <v>41</v>
      </c>
    </row>
    <row r="5" spans="1:3">
      <c r="A5" s="5">
        <v>45384</v>
      </c>
      <c r="B5" s="6">
        <v>66</v>
      </c>
      <c r="C5" s="6">
        <v>44</v>
      </c>
    </row>
    <row r="6" spans="1:3">
      <c r="A6" s="5">
        <v>45385</v>
      </c>
      <c r="B6" s="6">
        <v>74</v>
      </c>
      <c r="C6" s="6">
        <v>38</v>
      </c>
    </row>
    <row r="7" spans="1:3">
      <c r="A7" s="5">
        <v>45386</v>
      </c>
      <c r="B7" s="6">
        <v>66</v>
      </c>
      <c r="C7" s="6">
        <v>44</v>
      </c>
    </row>
    <row r="8" spans="1:3">
      <c r="A8" s="5">
        <v>45387</v>
      </c>
      <c r="B8" s="6">
        <v>64</v>
      </c>
      <c r="C8" s="6">
        <v>45</v>
      </c>
    </row>
    <row r="9" spans="1:3">
      <c r="A9" s="5">
        <v>45388</v>
      </c>
      <c r="B9" s="6">
        <v>67</v>
      </c>
      <c r="C9" s="6">
        <v>48</v>
      </c>
    </row>
    <row r="10" spans="1:3">
      <c r="A10" s="5">
        <v>45389</v>
      </c>
      <c r="B10" s="6">
        <v>60</v>
      </c>
      <c r="C10" s="6">
        <v>42</v>
      </c>
    </row>
    <row r="11" spans="1:3">
      <c r="A11" s="5">
        <v>45390</v>
      </c>
      <c r="B11" s="6">
        <v>45</v>
      </c>
      <c r="C11" s="6">
        <v>38</v>
      </c>
    </row>
    <row r="12" spans="1:3">
      <c r="A12" s="5">
        <v>45391</v>
      </c>
      <c r="B12" s="6">
        <v>46</v>
      </c>
      <c r="C12" s="6">
        <v>36</v>
      </c>
    </row>
    <row r="13" spans="1:3">
      <c r="A13" s="5">
        <v>45392</v>
      </c>
      <c r="B13" s="6">
        <v>65</v>
      </c>
      <c r="C13" s="6">
        <v>47</v>
      </c>
    </row>
    <row r="14" spans="1:3">
      <c r="A14" s="5">
        <v>45393</v>
      </c>
      <c r="B14" s="6">
        <v>57</v>
      </c>
      <c r="C14" s="6">
        <v>46</v>
      </c>
    </row>
    <row r="15" spans="1:3">
      <c r="A15" s="5">
        <v>45394</v>
      </c>
      <c r="B15" s="6">
        <v>76</v>
      </c>
      <c r="C15" s="6">
        <v>39</v>
      </c>
    </row>
    <row r="16" spans="1:3">
      <c r="A16" s="5">
        <v>45395</v>
      </c>
      <c r="B16" s="6">
        <v>52</v>
      </c>
      <c r="C16" s="6">
        <v>57</v>
      </c>
    </row>
    <row r="17" spans="1:3">
      <c r="A17" s="5">
        <v>45396</v>
      </c>
      <c r="B17" s="6">
        <v>41</v>
      </c>
      <c r="C17" s="6">
        <v>45</v>
      </c>
    </row>
    <row r="18" spans="1:3">
      <c r="A18" s="5">
        <v>45397</v>
      </c>
      <c r="B18" s="6">
        <v>71</v>
      </c>
      <c r="C18" s="6">
        <v>47</v>
      </c>
    </row>
    <row r="19" spans="1:3">
      <c r="A19" s="5">
        <v>45398</v>
      </c>
      <c r="B19" s="6">
        <v>54</v>
      </c>
      <c r="C19" s="6">
        <v>45</v>
      </c>
    </row>
    <row r="20" spans="1:3">
      <c r="A20" s="5">
        <v>45399</v>
      </c>
      <c r="B20" s="6">
        <v>68</v>
      </c>
      <c r="C20" s="6">
        <v>47</v>
      </c>
    </row>
    <row r="21" spans="1:3">
      <c r="A21" s="5">
        <v>45400</v>
      </c>
      <c r="B21" s="6">
        <v>56</v>
      </c>
      <c r="C21" s="6">
        <v>41</v>
      </c>
    </row>
    <row r="22" spans="1:3">
      <c r="A22" s="5">
        <v>45401</v>
      </c>
      <c r="B22" s="6">
        <v>52</v>
      </c>
      <c r="C22" s="6">
        <v>43</v>
      </c>
    </row>
    <row r="23" spans="1:3">
      <c r="A23" s="5">
        <v>45402</v>
      </c>
      <c r="B23" s="6">
        <v>58</v>
      </c>
      <c r="C23" s="6">
        <v>51</v>
      </c>
    </row>
    <row r="24" spans="1:3">
      <c r="A24" s="5">
        <v>45403</v>
      </c>
      <c r="B24" s="6">
        <v>41</v>
      </c>
      <c r="C24" s="6">
        <v>48</v>
      </c>
    </row>
    <row r="25" spans="1:3">
      <c r="A25" s="5">
        <v>45404</v>
      </c>
      <c r="B25" s="6">
        <v>55</v>
      </c>
      <c r="C25" s="6">
        <v>51</v>
      </c>
    </row>
    <row r="26" spans="1:3">
      <c r="A26" s="5">
        <v>45405</v>
      </c>
      <c r="B26" s="6">
        <v>68</v>
      </c>
      <c r="C26" s="6">
        <v>50</v>
      </c>
    </row>
    <row r="27" spans="1:3">
      <c r="A27" s="5">
        <v>45406</v>
      </c>
      <c r="B27" s="6">
        <v>52</v>
      </c>
      <c r="C27" s="6">
        <v>50</v>
      </c>
    </row>
    <row r="28" spans="1:3">
      <c r="A28" s="5">
        <v>45407</v>
      </c>
      <c r="B28" s="6">
        <v>81</v>
      </c>
      <c r="C28" s="6">
        <v>42</v>
      </c>
    </row>
    <row r="29" spans="1:3">
      <c r="A29" s="5">
        <v>45408</v>
      </c>
      <c r="B29" s="6">
        <v>78</v>
      </c>
      <c r="C29" s="6">
        <v>44</v>
      </c>
    </row>
    <row r="30" spans="1:3">
      <c r="A30" s="5">
        <v>45409</v>
      </c>
      <c r="B30" s="6">
        <v>43</v>
      </c>
      <c r="C30" s="6">
        <v>40</v>
      </c>
    </row>
    <row r="31" spans="1:3">
      <c r="A31" s="5">
        <v>45410</v>
      </c>
      <c r="B31" s="6">
        <v>52</v>
      </c>
      <c r="C31" s="6">
        <v>44</v>
      </c>
    </row>
    <row r="32" spans="1:3">
      <c r="A32" s="5">
        <v>45411</v>
      </c>
      <c r="B32" s="6">
        <v>71</v>
      </c>
      <c r="C32" s="6">
        <v>50</v>
      </c>
    </row>
    <row r="33" spans="1:3">
      <c r="A33" s="5">
        <v>45412</v>
      </c>
      <c r="B33" s="6">
        <v>72</v>
      </c>
      <c r="C33" s="6">
        <v>35</v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3"/>
  <sheetViews>
    <sheetView workbookViewId="0"/>
  </sheetViews>
  <sheetFormatPr defaultRowHeight="15"/>
  <cols>
    <col min="1" max="1" width="14.7109375" customWidth="1"/>
    <col min="2" max="3" width="20.7109375" customWidth="1"/>
    <col min="4" max="5" width="16.7109375" customWidth="1"/>
    <col min="6" max="6" width="18.7109375" customWidth="1"/>
    <col min="7" max="7" width="16.7109375" customWidth="1"/>
    <col min="8" max="8" width="22.7109375" customWidth="1"/>
  </cols>
  <sheetData>
    <row r="1" spans="1:8" ht="22" customHeight="1">
      <c r="A1" s="1" t="s">
        <v>24</v>
      </c>
      <c r="B1" s="1"/>
      <c r="C1" s="1"/>
      <c r="D1" s="1"/>
      <c r="E1" s="1"/>
      <c r="F1" s="1"/>
      <c r="G1" s="1"/>
      <c r="H1" s="1"/>
    </row>
    <row r="2" spans="1:8" ht="30" customHeight="1">
      <c r="A2" s="2" t="s">
        <v>1</v>
      </c>
      <c r="B2" s="2"/>
      <c r="C2" s="2"/>
      <c r="D2" s="2"/>
      <c r="E2" s="2"/>
      <c r="F2" s="2"/>
      <c r="G2" s="2"/>
      <c r="H2" s="2"/>
    </row>
    <row r="3" spans="1:8">
      <c r="A3" s="3" t="s">
        <v>2</v>
      </c>
      <c r="B3" s="3" t="s">
        <v>25</v>
      </c>
      <c r="C3" s="3" t="s">
        <v>26</v>
      </c>
      <c r="D3" s="3" t="s">
        <v>27</v>
      </c>
      <c r="E3" s="3" t="s">
        <v>28</v>
      </c>
      <c r="F3" s="3" t="s">
        <v>11</v>
      </c>
      <c r="G3" s="3" t="s">
        <v>10</v>
      </c>
      <c r="H3" s="4" t="s">
        <v>29</v>
      </c>
    </row>
    <row r="4" spans="1:8">
      <c r="A4" s="5">
        <v>45383</v>
      </c>
      <c r="B4" s="6">
        <v>40</v>
      </c>
      <c r="C4" s="6">
        <v>50</v>
      </c>
      <c r="D4" s="6">
        <v>41</v>
      </c>
      <c r="E4" s="6">
        <v>50</v>
      </c>
      <c r="F4" s="6">
        <v>1</v>
      </c>
      <c r="G4" s="6">
        <v>50</v>
      </c>
      <c r="H4" s="7">
        <f>IF(OR(C4=0,E4=0,G4=0),0,((B4/C4)*0.4+(D4/E4)*0.3+(1-F4/G4)*0.2)/0.9)</f>
        <v>0</v>
      </c>
    </row>
    <row r="5" spans="1:8">
      <c r="A5" s="5">
        <v>45384</v>
      </c>
      <c r="B5" s="6">
        <v>49</v>
      </c>
      <c r="C5" s="6">
        <v>50</v>
      </c>
      <c r="D5" s="6">
        <v>52</v>
      </c>
      <c r="E5" s="6">
        <v>50</v>
      </c>
      <c r="F5" s="6">
        <v>1</v>
      </c>
      <c r="G5" s="6">
        <v>50</v>
      </c>
      <c r="H5" s="7">
        <f>IF(OR(C5=0,E5=0,G5=0),0,((B5/C5)*0.4+(D5/E5)*0.3+(1-F5/G5)*0.2)/0.9)</f>
        <v>0</v>
      </c>
    </row>
    <row r="6" spans="1:8">
      <c r="A6" s="5">
        <v>45385</v>
      </c>
      <c r="B6" s="6">
        <v>47</v>
      </c>
      <c r="C6" s="6">
        <v>50</v>
      </c>
      <c r="D6" s="6">
        <v>42</v>
      </c>
      <c r="E6" s="6">
        <v>50</v>
      </c>
      <c r="F6" s="6">
        <v>0</v>
      </c>
      <c r="G6" s="6">
        <v>50</v>
      </c>
      <c r="H6" s="7">
        <f>IF(OR(C6=0,E6=0,G6=0),0,((B6/C6)*0.4+(D6/E6)*0.3+(1-F6/G6)*0.2)/0.9)</f>
        <v>0</v>
      </c>
    </row>
    <row r="7" spans="1:8">
      <c r="A7" s="5">
        <v>45386</v>
      </c>
      <c r="B7" s="6">
        <v>41</v>
      </c>
      <c r="C7" s="6">
        <v>50</v>
      </c>
      <c r="D7" s="6">
        <v>41</v>
      </c>
      <c r="E7" s="6">
        <v>50</v>
      </c>
      <c r="F7" s="6">
        <v>2</v>
      </c>
      <c r="G7" s="6">
        <v>50</v>
      </c>
      <c r="H7" s="7">
        <f>IF(OR(C7=0,E7=0,G7=0),0,((B7/C7)*0.4+(D7/E7)*0.3+(1-F7/G7)*0.2)/0.9)</f>
        <v>0</v>
      </c>
    </row>
    <row r="8" spans="1:8">
      <c r="A8" s="5">
        <v>45387</v>
      </c>
      <c r="B8" s="6">
        <v>49</v>
      </c>
      <c r="C8" s="6">
        <v>50</v>
      </c>
      <c r="D8" s="6">
        <v>37</v>
      </c>
      <c r="E8" s="6">
        <v>50</v>
      </c>
      <c r="F8" s="6">
        <v>0</v>
      </c>
      <c r="G8" s="6">
        <v>50</v>
      </c>
      <c r="H8" s="7">
        <f>IF(OR(C8=0,E8=0,G8=0),0,((B8/C8)*0.4+(D8/E8)*0.3+(1-F8/G8)*0.2)/0.9)</f>
        <v>0</v>
      </c>
    </row>
    <row r="9" spans="1:8">
      <c r="A9" s="5">
        <v>45388</v>
      </c>
      <c r="B9" s="6">
        <v>52</v>
      </c>
      <c r="C9" s="6">
        <v>50</v>
      </c>
      <c r="D9" s="6">
        <v>52</v>
      </c>
      <c r="E9" s="6">
        <v>50</v>
      </c>
      <c r="F9" s="6">
        <v>0</v>
      </c>
      <c r="G9" s="6">
        <v>50</v>
      </c>
      <c r="H9" s="7">
        <f>IF(OR(C9=0,E9=0,G9=0),0,((B9/C9)*0.4+(D9/E9)*0.3+(1-F9/G9)*0.2)/0.9)</f>
        <v>0</v>
      </c>
    </row>
    <row r="10" spans="1:8">
      <c r="A10" s="5">
        <v>45389</v>
      </c>
      <c r="B10" s="6">
        <v>48</v>
      </c>
      <c r="C10" s="6">
        <v>50</v>
      </c>
      <c r="D10" s="6">
        <v>48</v>
      </c>
      <c r="E10" s="6">
        <v>50</v>
      </c>
      <c r="F10" s="6">
        <v>3</v>
      </c>
      <c r="G10" s="6">
        <v>50</v>
      </c>
      <c r="H10" s="7">
        <f>IF(OR(C10=0,E10=0,G10=0),0,((B10/C10)*0.4+(D10/E10)*0.3+(1-F10/G10)*0.2)/0.9)</f>
        <v>0</v>
      </c>
    </row>
    <row r="11" spans="1:8">
      <c r="A11" s="5">
        <v>45390</v>
      </c>
      <c r="B11" s="6">
        <v>43</v>
      </c>
      <c r="C11" s="6">
        <v>50</v>
      </c>
      <c r="D11" s="6">
        <v>42</v>
      </c>
      <c r="E11" s="6">
        <v>50</v>
      </c>
      <c r="F11" s="6">
        <v>1</v>
      </c>
      <c r="G11" s="6">
        <v>50</v>
      </c>
      <c r="H11" s="7">
        <f>IF(OR(C11=0,E11=0,G11=0),0,((B11/C11)*0.4+(D11/E11)*0.3+(1-F11/G11)*0.2)/0.9)</f>
        <v>0</v>
      </c>
    </row>
    <row r="12" spans="1:8">
      <c r="A12" s="5">
        <v>45391</v>
      </c>
      <c r="B12" s="6">
        <v>45</v>
      </c>
      <c r="C12" s="6">
        <v>50</v>
      </c>
      <c r="D12" s="6">
        <v>51</v>
      </c>
      <c r="E12" s="6">
        <v>50</v>
      </c>
      <c r="F12" s="6">
        <v>2</v>
      </c>
      <c r="G12" s="6">
        <v>50</v>
      </c>
      <c r="H12" s="7">
        <f>IF(OR(C12=0,E12=0,G12=0),0,((B12/C12)*0.4+(D12/E12)*0.3+(1-F12/G12)*0.2)/0.9)</f>
        <v>0</v>
      </c>
    </row>
    <row r="13" spans="1:8">
      <c r="A13" s="5">
        <v>45392</v>
      </c>
      <c r="B13" s="6">
        <v>39</v>
      </c>
      <c r="C13" s="6">
        <v>50</v>
      </c>
      <c r="D13" s="6">
        <v>56</v>
      </c>
      <c r="E13" s="6">
        <v>50</v>
      </c>
      <c r="F13" s="6">
        <v>4</v>
      </c>
      <c r="G13" s="6">
        <v>50</v>
      </c>
      <c r="H13" s="7">
        <f>IF(OR(C13=0,E13=0,G13=0),0,((B13/C13)*0.4+(D13/E13)*0.3+(1-F13/G13)*0.2)/0.9)</f>
        <v>0</v>
      </c>
    </row>
    <row r="14" spans="1:8">
      <c r="A14" s="5">
        <v>45393</v>
      </c>
      <c r="B14" s="6">
        <v>54</v>
      </c>
      <c r="C14" s="6">
        <v>50</v>
      </c>
      <c r="D14" s="6">
        <v>50</v>
      </c>
      <c r="E14" s="6">
        <v>50</v>
      </c>
      <c r="F14" s="6">
        <v>0</v>
      </c>
      <c r="G14" s="6">
        <v>50</v>
      </c>
      <c r="H14" s="7">
        <f>IF(OR(C14=0,E14=0,G14=0),0,((B14/C14)*0.4+(D14/E14)*0.3+(1-F14/G14)*0.2)/0.9)</f>
        <v>0</v>
      </c>
    </row>
    <row r="15" spans="1:8">
      <c r="A15" s="5">
        <v>45394</v>
      </c>
      <c r="B15" s="6">
        <v>39</v>
      </c>
      <c r="C15" s="6">
        <v>50</v>
      </c>
      <c r="D15" s="6">
        <v>52</v>
      </c>
      <c r="E15" s="6">
        <v>50</v>
      </c>
      <c r="F15" s="6">
        <v>1</v>
      </c>
      <c r="G15" s="6">
        <v>50</v>
      </c>
      <c r="H15" s="7">
        <f>IF(OR(C15=0,E15=0,G15=0),0,((B15/C15)*0.4+(D15/E15)*0.3+(1-F15/G15)*0.2)/0.9)</f>
        <v>0</v>
      </c>
    </row>
    <row r="16" spans="1:8">
      <c r="A16" s="5">
        <v>45395</v>
      </c>
      <c r="B16" s="6">
        <v>51</v>
      </c>
      <c r="C16" s="6">
        <v>50</v>
      </c>
      <c r="D16" s="6">
        <v>44</v>
      </c>
      <c r="E16" s="6">
        <v>50</v>
      </c>
      <c r="F16" s="6">
        <v>1</v>
      </c>
      <c r="G16" s="6">
        <v>50</v>
      </c>
      <c r="H16" s="7">
        <f>IF(OR(C16=0,E16=0,G16=0),0,((B16/C16)*0.4+(D16/E16)*0.3+(1-F16/G16)*0.2)/0.9)</f>
        <v>0</v>
      </c>
    </row>
    <row r="17" spans="1:8">
      <c r="A17" s="5">
        <v>45396</v>
      </c>
      <c r="B17" s="6">
        <v>50</v>
      </c>
      <c r="C17" s="6">
        <v>50</v>
      </c>
      <c r="D17" s="6">
        <v>50</v>
      </c>
      <c r="E17" s="6">
        <v>50</v>
      </c>
      <c r="F17" s="6">
        <v>2</v>
      </c>
      <c r="G17" s="6">
        <v>50</v>
      </c>
      <c r="H17" s="7">
        <f>IF(OR(C17=0,E17=0,G17=0),0,((B17/C17)*0.4+(D17/E17)*0.3+(1-F17/G17)*0.2)/0.9)</f>
        <v>0</v>
      </c>
    </row>
    <row r="18" spans="1:8">
      <c r="A18" s="5">
        <v>45397</v>
      </c>
      <c r="B18" s="6">
        <v>46</v>
      </c>
      <c r="C18" s="6">
        <v>50</v>
      </c>
      <c r="D18" s="6">
        <v>48</v>
      </c>
      <c r="E18" s="6">
        <v>50</v>
      </c>
      <c r="F18" s="6">
        <v>1</v>
      </c>
      <c r="G18" s="6">
        <v>50</v>
      </c>
      <c r="H18" s="7">
        <f>IF(OR(C18=0,E18=0,G18=0),0,((B18/C18)*0.4+(D18/E18)*0.3+(1-F18/G18)*0.2)/0.9)</f>
        <v>0</v>
      </c>
    </row>
    <row r="19" spans="1:8">
      <c r="A19" s="5">
        <v>45398</v>
      </c>
      <c r="B19" s="6">
        <v>47</v>
      </c>
      <c r="C19" s="6">
        <v>50</v>
      </c>
      <c r="D19" s="6">
        <v>41</v>
      </c>
      <c r="E19" s="6">
        <v>50</v>
      </c>
      <c r="F19" s="6">
        <v>0</v>
      </c>
      <c r="G19" s="6">
        <v>50</v>
      </c>
      <c r="H19" s="7">
        <f>IF(OR(C19=0,E19=0,G19=0),0,((B19/C19)*0.4+(D19/E19)*0.3+(1-F19/G19)*0.2)/0.9)</f>
        <v>0</v>
      </c>
    </row>
    <row r="20" spans="1:8">
      <c r="A20" s="5">
        <v>45399</v>
      </c>
      <c r="B20" s="6">
        <v>42</v>
      </c>
      <c r="C20" s="6">
        <v>50</v>
      </c>
      <c r="D20" s="6">
        <v>44</v>
      </c>
      <c r="E20" s="6">
        <v>50</v>
      </c>
      <c r="F20" s="6">
        <v>2</v>
      </c>
      <c r="G20" s="6">
        <v>50</v>
      </c>
      <c r="H20" s="7">
        <f>IF(OR(C20=0,E20=0,G20=0),0,((B20/C20)*0.4+(D20/E20)*0.3+(1-F20/G20)*0.2)/0.9)</f>
        <v>0</v>
      </c>
    </row>
    <row r="21" spans="1:8">
      <c r="A21" s="5">
        <v>45400</v>
      </c>
      <c r="B21" s="6">
        <v>44</v>
      </c>
      <c r="C21" s="6">
        <v>50</v>
      </c>
      <c r="D21" s="6">
        <v>52</v>
      </c>
      <c r="E21" s="6">
        <v>50</v>
      </c>
      <c r="F21" s="6">
        <v>0</v>
      </c>
      <c r="G21" s="6">
        <v>50</v>
      </c>
      <c r="H21" s="7">
        <f>IF(OR(C21=0,E21=0,G21=0),0,((B21/C21)*0.4+(D21/E21)*0.3+(1-F21/G21)*0.2)/0.9)</f>
        <v>0</v>
      </c>
    </row>
    <row r="22" spans="1:8">
      <c r="A22" s="5">
        <v>45401</v>
      </c>
      <c r="B22" s="6">
        <v>35</v>
      </c>
      <c r="C22" s="6">
        <v>50</v>
      </c>
      <c r="D22" s="6">
        <v>53</v>
      </c>
      <c r="E22" s="6">
        <v>50</v>
      </c>
      <c r="F22" s="6">
        <v>0</v>
      </c>
      <c r="G22" s="6">
        <v>50</v>
      </c>
      <c r="H22" s="7">
        <f>IF(OR(C22=0,E22=0,G22=0),0,((B22/C22)*0.4+(D22/E22)*0.3+(1-F22/G22)*0.2)/0.9)</f>
        <v>0</v>
      </c>
    </row>
    <row r="23" spans="1:8">
      <c r="A23" s="5">
        <v>45402</v>
      </c>
      <c r="B23" s="6">
        <v>50</v>
      </c>
      <c r="C23" s="6">
        <v>50</v>
      </c>
      <c r="D23" s="6">
        <v>52</v>
      </c>
      <c r="E23" s="6">
        <v>50</v>
      </c>
      <c r="F23" s="6">
        <v>1</v>
      </c>
      <c r="G23" s="6">
        <v>50</v>
      </c>
      <c r="H23" s="7">
        <f>IF(OR(C23=0,E23=0,G23=0),0,((B23/C23)*0.4+(D23/E23)*0.3+(1-F23/G23)*0.2)/0.9)</f>
        <v>0</v>
      </c>
    </row>
    <row r="24" spans="1:8">
      <c r="A24" s="5">
        <v>45403</v>
      </c>
      <c r="B24" s="6">
        <v>47</v>
      </c>
      <c r="C24" s="6">
        <v>50</v>
      </c>
      <c r="D24" s="6">
        <v>44</v>
      </c>
      <c r="E24" s="6">
        <v>50</v>
      </c>
      <c r="F24" s="6">
        <v>3</v>
      </c>
      <c r="G24" s="6">
        <v>50</v>
      </c>
      <c r="H24" s="7">
        <f>IF(OR(C24=0,E24=0,G24=0),0,((B24/C24)*0.4+(D24/E24)*0.3+(1-F24/G24)*0.2)/0.9)</f>
        <v>0</v>
      </c>
    </row>
    <row r="25" spans="1:8">
      <c r="A25" s="5">
        <v>45404</v>
      </c>
      <c r="B25" s="6">
        <v>45</v>
      </c>
      <c r="C25" s="6">
        <v>50</v>
      </c>
      <c r="D25" s="6">
        <v>54</v>
      </c>
      <c r="E25" s="6">
        <v>50</v>
      </c>
      <c r="F25" s="6">
        <v>0</v>
      </c>
      <c r="G25" s="6">
        <v>50</v>
      </c>
      <c r="H25" s="7">
        <f>IF(OR(C25=0,E25=0,G25=0),0,((B25/C25)*0.4+(D25/E25)*0.3+(1-F25/G25)*0.2)/0.9)</f>
        <v>0</v>
      </c>
    </row>
    <row r="26" spans="1:8">
      <c r="A26" s="5">
        <v>45405</v>
      </c>
      <c r="B26" s="6">
        <v>41</v>
      </c>
      <c r="C26" s="6">
        <v>50</v>
      </c>
      <c r="D26" s="6">
        <v>47</v>
      </c>
      <c r="E26" s="6">
        <v>50</v>
      </c>
      <c r="F26" s="6">
        <v>0</v>
      </c>
      <c r="G26" s="6">
        <v>50</v>
      </c>
      <c r="H26" s="7">
        <f>IF(OR(C26=0,E26=0,G26=0),0,((B26/C26)*0.4+(D26/E26)*0.3+(1-F26/G26)*0.2)/0.9)</f>
        <v>0</v>
      </c>
    </row>
    <row r="27" spans="1:8">
      <c r="A27" s="5">
        <v>45406</v>
      </c>
      <c r="B27" s="6">
        <v>49</v>
      </c>
      <c r="C27" s="6">
        <v>50</v>
      </c>
      <c r="D27" s="6">
        <v>47</v>
      </c>
      <c r="E27" s="6">
        <v>50</v>
      </c>
      <c r="F27" s="6">
        <v>0</v>
      </c>
      <c r="G27" s="6">
        <v>50</v>
      </c>
      <c r="H27" s="7">
        <f>IF(OR(C27=0,E27=0,G27=0),0,((B27/C27)*0.4+(D27/E27)*0.3+(1-F27/G27)*0.2)/0.9)</f>
        <v>0</v>
      </c>
    </row>
    <row r="28" spans="1:8">
      <c r="A28" s="5">
        <v>45407</v>
      </c>
      <c r="B28" s="6">
        <v>43</v>
      </c>
      <c r="C28" s="6">
        <v>50</v>
      </c>
      <c r="D28" s="6">
        <v>41</v>
      </c>
      <c r="E28" s="6">
        <v>50</v>
      </c>
      <c r="F28" s="6">
        <v>1</v>
      </c>
      <c r="G28" s="6">
        <v>50</v>
      </c>
      <c r="H28" s="7">
        <f>IF(OR(C28=0,E28=0,G28=0),0,((B28/C28)*0.4+(D28/E28)*0.3+(1-F28/G28)*0.2)/0.9)</f>
        <v>0</v>
      </c>
    </row>
    <row r="29" spans="1:8">
      <c r="A29" s="5">
        <v>45408</v>
      </c>
      <c r="B29" s="6">
        <v>51</v>
      </c>
      <c r="C29" s="6">
        <v>50</v>
      </c>
      <c r="D29" s="6">
        <v>38</v>
      </c>
      <c r="E29" s="6">
        <v>50</v>
      </c>
      <c r="F29" s="6">
        <v>2</v>
      </c>
      <c r="G29" s="6">
        <v>50</v>
      </c>
      <c r="H29" s="7">
        <f>IF(OR(C29=0,E29=0,G29=0),0,((B29/C29)*0.4+(D29/E29)*0.3+(1-F29/G29)*0.2)/0.9)</f>
        <v>0</v>
      </c>
    </row>
    <row r="30" spans="1:8">
      <c r="A30" s="5">
        <v>45409</v>
      </c>
      <c r="B30" s="6">
        <v>52</v>
      </c>
      <c r="C30" s="6">
        <v>50</v>
      </c>
      <c r="D30" s="6">
        <v>52</v>
      </c>
      <c r="E30" s="6">
        <v>50</v>
      </c>
      <c r="F30" s="6">
        <v>3</v>
      </c>
      <c r="G30" s="6">
        <v>50</v>
      </c>
      <c r="H30" s="7">
        <f>IF(OR(C30=0,E30=0,G30=0),0,((B30/C30)*0.4+(D30/E30)*0.3+(1-F30/G30)*0.2)/0.9)</f>
        <v>0</v>
      </c>
    </row>
    <row r="31" spans="1:8">
      <c r="A31" s="5">
        <v>45410</v>
      </c>
      <c r="B31" s="6">
        <v>43</v>
      </c>
      <c r="C31" s="6">
        <v>50</v>
      </c>
      <c r="D31" s="6">
        <v>52</v>
      </c>
      <c r="E31" s="6">
        <v>50</v>
      </c>
      <c r="F31" s="6">
        <v>0</v>
      </c>
      <c r="G31" s="6">
        <v>50</v>
      </c>
      <c r="H31" s="7">
        <f>IF(OR(C31=0,E31=0,G31=0),0,((B31/C31)*0.4+(D31/E31)*0.3+(1-F31/G31)*0.2)/0.9)</f>
        <v>0</v>
      </c>
    </row>
    <row r="32" spans="1:8">
      <c r="A32" s="5">
        <v>45411</v>
      </c>
      <c r="B32" s="6">
        <v>43</v>
      </c>
      <c r="C32" s="6">
        <v>50</v>
      </c>
      <c r="D32" s="6">
        <v>49</v>
      </c>
      <c r="E32" s="6">
        <v>50</v>
      </c>
      <c r="F32" s="6">
        <v>0</v>
      </c>
      <c r="G32" s="6">
        <v>50</v>
      </c>
      <c r="H32" s="7">
        <f>IF(OR(C32=0,E32=0,G32=0),0,((B32/C32)*0.4+(D32/E32)*0.3+(1-F32/G32)*0.2)/0.9)</f>
        <v>0</v>
      </c>
    </row>
    <row r="33" spans="1:8">
      <c r="A33" s="5">
        <v>45412</v>
      </c>
      <c r="B33" s="6">
        <v>49</v>
      </c>
      <c r="C33" s="6">
        <v>50</v>
      </c>
      <c r="D33" s="6">
        <v>43</v>
      </c>
      <c r="E33" s="6">
        <v>50</v>
      </c>
      <c r="F33" s="6">
        <v>0</v>
      </c>
      <c r="G33" s="6">
        <v>50</v>
      </c>
      <c r="H33" s="7">
        <f>IF(OR(C33=0,E33=0,G33=0),0,((B33/C33)*0.4+(D33/E33)*0.3+(1-F33/G33)*0.2)/0.9)</f>
        <v>0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cols>
    <col min="1" max="1" width="18.7109375" customWidth="1"/>
    <col min="2" max="3" width="24.7109375" customWidth="1"/>
    <col min="4" max="4" width="18.7109375" customWidth="1"/>
    <col min="5" max="5" width="16.7109375" customWidth="1"/>
    <col min="6" max="6" width="22.7109375" customWidth="1"/>
  </cols>
  <sheetData>
    <row r="1" spans="1:6" ht="22" customHeight="1">
      <c r="A1" s="1" t="s">
        <v>30</v>
      </c>
      <c r="B1" s="1"/>
      <c r="C1" s="1"/>
      <c r="D1" s="1"/>
      <c r="E1" s="1"/>
      <c r="F1" s="1"/>
    </row>
    <row r="2" spans="1:6" ht="30" customHeight="1">
      <c r="A2" s="2" t="s">
        <v>1</v>
      </c>
      <c r="B2" s="2"/>
      <c r="C2" s="2"/>
      <c r="D2" s="2"/>
      <c r="E2" s="2"/>
      <c r="F2" s="2"/>
    </row>
    <row r="3" spans="1:6">
      <c r="A3" s="3" t="s">
        <v>31</v>
      </c>
      <c r="B3" s="3" t="s">
        <v>32</v>
      </c>
      <c r="C3" s="3" t="s">
        <v>33</v>
      </c>
      <c r="D3" s="3" t="s">
        <v>9</v>
      </c>
      <c r="E3" s="3" t="s">
        <v>10</v>
      </c>
      <c r="F3" s="4" t="s">
        <v>34</v>
      </c>
    </row>
    <row r="4" spans="1:6">
      <c r="A4" s="5">
        <v>45383</v>
      </c>
      <c r="B4" s="6">
        <v>3079132.580327039</v>
      </c>
      <c r="C4" s="6">
        <v>3250561.445653087</v>
      </c>
      <c r="D4" s="6">
        <v>46</v>
      </c>
      <c r="E4" s="6">
        <v>50</v>
      </c>
      <c r="F4" s="7">
        <f>IF(C4=0,0,B4/C4)</f>
        <v>0</v>
      </c>
    </row>
    <row r="5" spans="1:6">
      <c r="A5" s="5">
        <v>45390</v>
      </c>
      <c r="B5" s="6">
        <v>2942518.667195403</v>
      </c>
      <c r="C5" s="6">
        <v>3145921.226576612</v>
      </c>
      <c r="D5" s="6">
        <v>47</v>
      </c>
      <c r="E5" s="6">
        <v>50</v>
      </c>
      <c r="F5" s="7">
        <f>IF(C5=0,0,B5/C5)</f>
        <v>0</v>
      </c>
    </row>
    <row r="6" spans="1:6">
      <c r="A6" s="5">
        <v>45397</v>
      </c>
      <c r="B6" s="6">
        <v>3000554.136936422</v>
      </c>
      <c r="C6" s="6">
        <v>3293302.570651422</v>
      </c>
      <c r="D6" s="6">
        <v>49</v>
      </c>
      <c r="E6" s="6">
        <v>50</v>
      </c>
      <c r="F6" s="7">
        <f>IF(C6=0,0,B6/C6)</f>
        <v>0</v>
      </c>
    </row>
    <row r="7" spans="1:6">
      <c r="A7" s="5">
        <v>45404</v>
      </c>
      <c r="B7" s="6">
        <v>3034650.78061474</v>
      </c>
      <c r="C7" s="6">
        <v>3245245.334887563</v>
      </c>
      <c r="D7" s="6">
        <v>47</v>
      </c>
      <c r="E7" s="6">
        <v>50</v>
      </c>
      <c r="F7" s="7">
        <f>IF(C7=0,0,B7/C7)</f>
        <v>0</v>
      </c>
    </row>
    <row r="8" spans="1:6">
      <c r="A8" s="5">
        <v>45411</v>
      </c>
      <c r="B8" s="6">
        <v>3064338.331993233</v>
      </c>
      <c r="C8" s="6">
        <v>3259289.71311802</v>
      </c>
      <c r="D8" s="6">
        <v>49</v>
      </c>
      <c r="E8" s="6">
        <v>50</v>
      </c>
      <c r="F8" s="7">
        <f>IF(C8=0,0,B8/C8)</f>
        <v>0</v>
      </c>
    </row>
    <row r="9" spans="1:6">
      <c r="A9" s="5">
        <v>45418</v>
      </c>
      <c r="B9" s="6">
        <v>3109057.491424243</v>
      </c>
      <c r="C9" s="6">
        <v>3122767.813939868</v>
      </c>
      <c r="D9" s="6">
        <v>46</v>
      </c>
      <c r="E9" s="6">
        <v>50</v>
      </c>
      <c r="F9" s="7">
        <f>IF(C9=0,0,B9/C9)</f>
        <v>0</v>
      </c>
    </row>
    <row r="10" spans="1:6">
      <c r="A10" s="5">
        <v>45425</v>
      </c>
      <c r="B10" s="6">
        <v>3129303.192440274</v>
      </c>
      <c r="C10" s="6">
        <v>3355770.841093639</v>
      </c>
      <c r="D10" s="6">
        <v>50</v>
      </c>
      <c r="E10" s="6">
        <v>50</v>
      </c>
      <c r="F10" s="7">
        <f>IF(C10=0,0,B10/C10)</f>
        <v>0</v>
      </c>
    </row>
    <row r="11" spans="1:6">
      <c r="A11" s="5">
        <v>45432</v>
      </c>
      <c r="B11" s="6">
        <v>2976642.182321597</v>
      </c>
      <c r="C11" s="6">
        <v>3074901.114090084</v>
      </c>
      <c r="D11" s="6">
        <v>48</v>
      </c>
      <c r="E11" s="6">
        <v>50</v>
      </c>
      <c r="F11" s="7">
        <f>IF(C11=0,0,B11/C11)</f>
        <v>0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03"/>
  <sheetViews>
    <sheetView workbookViewId="0"/>
  </sheetViews>
  <sheetFormatPr defaultRowHeight="15"/>
  <cols>
    <col min="1" max="1" width="14.7109375" customWidth="1"/>
    <col min="2" max="2" width="18.7109375" customWidth="1"/>
    <col min="3" max="4" width="22.7109375" customWidth="1"/>
  </cols>
  <sheetData>
    <row r="1" spans="1:4" ht="22" customHeight="1">
      <c r="A1" s="1" t="s">
        <v>35</v>
      </c>
      <c r="B1" s="1"/>
      <c r="C1" s="1"/>
      <c r="D1" s="1"/>
    </row>
    <row r="2" spans="1:4" ht="30" customHeight="1">
      <c r="A2" s="2" t="s">
        <v>36</v>
      </c>
      <c r="B2" s="2"/>
      <c r="C2" s="2"/>
      <c r="D2" s="2"/>
    </row>
    <row r="3" spans="1:4">
      <c r="A3" s="3" t="s">
        <v>2</v>
      </c>
      <c r="B3" s="3" t="s">
        <v>37</v>
      </c>
      <c r="C3" s="3" t="s">
        <v>38</v>
      </c>
      <c r="D3" s="3" t="s">
        <v>39</v>
      </c>
    </row>
    <row r="4" spans="1:4">
      <c r="A4" s="5">
        <v>45383</v>
      </c>
      <c r="B4" s="6" t="s">
        <v>40</v>
      </c>
      <c r="C4" s="6">
        <v>25546.92264702723</v>
      </c>
      <c r="D4" s="6">
        <v>21995.92887867455</v>
      </c>
    </row>
    <row r="5" spans="1:4">
      <c r="A5" s="5">
        <v>45383</v>
      </c>
      <c r="B5" s="6" t="s">
        <v>41</v>
      </c>
      <c r="C5" s="6">
        <v>24812.72678457667</v>
      </c>
      <c r="D5" s="6">
        <v>22119.9856595996</v>
      </c>
    </row>
    <row r="6" spans="1:4">
      <c r="A6" s="5">
        <v>45383</v>
      </c>
      <c r="B6" s="6" t="s">
        <v>42</v>
      </c>
      <c r="C6" s="6">
        <v>24848.66118003503</v>
      </c>
      <c r="D6" s="6">
        <v>23885.73168678023</v>
      </c>
    </row>
    <row r="7" spans="1:4">
      <c r="A7" s="5">
        <v>45383</v>
      </c>
      <c r="B7" s="6" t="s">
        <v>43</v>
      </c>
      <c r="C7" s="6">
        <v>28387.05483921579</v>
      </c>
      <c r="D7" s="6">
        <v>24546.17153404447</v>
      </c>
    </row>
    <row r="8" spans="1:4">
      <c r="A8" s="5">
        <v>45383</v>
      </c>
      <c r="B8" s="6" t="s">
        <v>44</v>
      </c>
      <c r="C8" s="6">
        <v>29713.29123789634</v>
      </c>
      <c r="D8" s="6">
        <v>28333.62933065949</v>
      </c>
    </row>
    <row r="9" spans="1:4">
      <c r="A9" s="5">
        <v>45383</v>
      </c>
      <c r="B9" s="6" t="s">
        <v>45</v>
      </c>
      <c r="C9" s="6">
        <v>28162.11604554077</v>
      </c>
      <c r="D9" s="6">
        <v>25041.47415487986</v>
      </c>
    </row>
    <row r="10" spans="1:4">
      <c r="A10" s="5">
        <v>45383</v>
      </c>
      <c r="B10" s="6" t="s">
        <v>46</v>
      </c>
      <c r="C10" s="6">
        <v>25516.8146871389</v>
      </c>
      <c r="D10" s="6">
        <v>24129.89578521182</v>
      </c>
    </row>
    <row r="11" spans="1:4">
      <c r="A11" s="5">
        <v>45383</v>
      </c>
      <c r="B11" s="6" t="s">
        <v>47</v>
      </c>
      <c r="C11" s="6">
        <v>25155.62771619238</v>
      </c>
      <c r="D11" s="6">
        <v>23480.37817490133</v>
      </c>
    </row>
    <row r="12" spans="1:4">
      <c r="A12" s="5">
        <v>45383</v>
      </c>
      <c r="B12" s="6" t="s">
        <v>48</v>
      </c>
      <c r="C12" s="6">
        <v>26552.30813331857</v>
      </c>
      <c r="D12" s="6">
        <v>25237.09930683922</v>
      </c>
    </row>
    <row r="13" spans="1:4">
      <c r="A13" s="5">
        <v>45383</v>
      </c>
      <c r="B13" s="6" t="s">
        <v>49</v>
      </c>
      <c r="C13" s="6">
        <v>26485.49774939409</v>
      </c>
      <c r="D13" s="6">
        <v>23108.2056450852</v>
      </c>
    </row>
    <row r="14" spans="1:4">
      <c r="A14" s="5">
        <v>45383</v>
      </c>
      <c r="B14" s="6" t="s">
        <v>50</v>
      </c>
      <c r="C14" s="6">
        <v>27108.12193694424</v>
      </c>
      <c r="D14" s="6">
        <v>24418.13898443177</v>
      </c>
    </row>
    <row r="15" spans="1:4">
      <c r="A15" s="5">
        <v>45383</v>
      </c>
      <c r="B15" s="6" t="s">
        <v>51</v>
      </c>
      <c r="C15" s="6">
        <v>27590.94091622499</v>
      </c>
      <c r="D15" s="6">
        <v>25597.8047920676</v>
      </c>
    </row>
    <row r="16" spans="1:4">
      <c r="A16" s="5">
        <v>45383</v>
      </c>
      <c r="B16" s="6" t="s">
        <v>52</v>
      </c>
      <c r="C16" s="6">
        <v>25322.82501735531</v>
      </c>
      <c r="D16" s="6">
        <v>23550.73331971528</v>
      </c>
    </row>
    <row r="17" spans="1:4">
      <c r="A17" s="5">
        <v>45383</v>
      </c>
      <c r="B17" s="6" t="s">
        <v>53</v>
      </c>
      <c r="C17" s="6">
        <v>24541.58869668813</v>
      </c>
      <c r="D17" s="6">
        <v>22586.73568189362</v>
      </c>
    </row>
    <row r="18" spans="1:4">
      <c r="A18" s="5">
        <v>45383</v>
      </c>
      <c r="B18" s="6" t="s">
        <v>54</v>
      </c>
      <c r="C18" s="6">
        <v>27389.51310363325</v>
      </c>
      <c r="D18" s="6">
        <v>24595.82868887503</v>
      </c>
    </row>
    <row r="19" spans="1:4">
      <c r="A19" s="5">
        <v>45383</v>
      </c>
      <c r="B19" s="6" t="s">
        <v>55</v>
      </c>
      <c r="C19" s="6">
        <v>27326.71025920478</v>
      </c>
      <c r="D19" s="6">
        <v>25035.91712524657</v>
      </c>
    </row>
    <row r="20" spans="1:4">
      <c r="A20" s="5">
        <v>45383</v>
      </c>
      <c r="B20" s="6" t="s">
        <v>56</v>
      </c>
      <c r="C20" s="6">
        <v>27950.91358230527</v>
      </c>
      <c r="D20" s="6">
        <v>24655.04253691971</v>
      </c>
    </row>
    <row r="21" spans="1:4">
      <c r="A21" s="5">
        <v>45383</v>
      </c>
      <c r="B21" s="6" t="s">
        <v>57</v>
      </c>
      <c r="C21" s="6">
        <v>30478.00451042452</v>
      </c>
      <c r="D21" s="6">
        <v>30808.23445739153</v>
      </c>
    </row>
    <row r="22" spans="1:4">
      <c r="A22" s="5">
        <v>45383</v>
      </c>
      <c r="B22" s="6" t="s">
        <v>58</v>
      </c>
      <c r="C22" s="6">
        <v>24452.32193768757</v>
      </c>
      <c r="D22" s="6">
        <v>21713.32978504525</v>
      </c>
    </row>
    <row r="23" spans="1:4">
      <c r="A23" s="5">
        <v>45383</v>
      </c>
      <c r="B23" s="6" t="s">
        <v>59</v>
      </c>
      <c r="C23" s="6">
        <v>23544.30982693337</v>
      </c>
      <c r="D23" s="6">
        <v>20039.03026047301</v>
      </c>
    </row>
    <row r="24" spans="1:4">
      <c r="A24" s="5">
        <v>45384</v>
      </c>
      <c r="B24" s="6" t="s">
        <v>40</v>
      </c>
      <c r="C24" s="6">
        <v>25389.53772534513</v>
      </c>
      <c r="D24" s="6">
        <v>21655.64308867106</v>
      </c>
    </row>
    <row r="25" spans="1:4">
      <c r="A25" s="5">
        <v>45384</v>
      </c>
      <c r="B25" s="6" t="s">
        <v>41</v>
      </c>
      <c r="C25" s="6">
        <v>24415.8852241165</v>
      </c>
      <c r="D25" s="6">
        <v>21582.73821208662</v>
      </c>
    </row>
    <row r="26" spans="1:4">
      <c r="A26" s="5">
        <v>45384</v>
      </c>
      <c r="B26" s="6" t="s">
        <v>42</v>
      </c>
      <c r="C26" s="6">
        <v>25293.25294312937</v>
      </c>
      <c r="D26" s="6">
        <v>23374.21342597786</v>
      </c>
    </row>
    <row r="27" spans="1:4">
      <c r="A27" s="5">
        <v>45384</v>
      </c>
      <c r="B27" s="6" t="s">
        <v>43</v>
      </c>
      <c r="C27" s="6">
        <v>26604.42706634719</v>
      </c>
      <c r="D27" s="6">
        <v>23859.23862176503</v>
      </c>
    </row>
    <row r="28" spans="1:4">
      <c r="A28" s="5">
        <v>45384</v>
      </c>
      <c r="B28" s="6" t="s">
        <v>44</v>
      </c>
      <c r="C28" s="6">
        <v>28672.49731390755</v>
      </c>
      <c r="D28" s="6">
        <v>25576.36657322477</v>
      </c>
    </row>
    <row r="29" spans="1:4">
      <c r="A29" s="5">
        <v>45384</v>
      </c>
      <c r="B29" s="6" t="s">
        <v>45</v>
      </c>
      <c r="C29" s="6">
        <v>29609.13079737348</v>
      </c>
      <c r="D29" s="6">
        <v>29203.14553984267</v>
      </c>
    </row>
    <row r="30" spans="1:4">
      <c r="A30" s="5">
        <v>45384</v>
      </c>
      <c r="B30" s="6" t="s">
        <v>46</v>
      </c>
      <c r="C30" s="6">
        <v>23667.86418405922</v>
      </c>
      <c r="D30" s="6">
        <v>21717.5092184867</v>
      </c>
    </row>
    <row r="31" spans="1:4">
      <c r="A31" s="5">
        <v>45384</v>
      </c>
      <c r="B31" s="6" t="s">
        <v>47</v>
      </c>
      <c r="C31" s="6">
        <v>23982.75396156768</v>
      </c>
      <c r="D31" s="6">
        <v>23489.47397238169</v>
      </c>
    </row>
    <row r="32" spans="1:4">
      <c r="A32" s="5">
        <v>45384</v>
      </c>
      <c r="B32" s="6" t="s">
        <v>48</v>
      </c>
      <c r="C32" s="6">
        <v>25272.02742872541</v>
      </c>
      <c r="D32" s="6">
        <v>21791.17079640278</v>
      </c>
    </row>
    <row r="33" spans="1:4">
      <c r="A33" s="5">
        <v>45384</v>
      </c>
      <c r="B33" s="6" t="s">
        <v>49</v>
      </c>
      <c r="C33" s="6">
        <v>26629.84307638215</v>
      </c>
      <c r="D33" s="6">
        <v>23077.80425003162</v>
      </c>
    </row>
    <row r="34" spans="1:4">
      <c r="A34" s="5">
        <v>45384</v>
      </c>
      <c r="B34" s="6" t="s">
        <v>50</v>
      </c>
      <c r="C34" s="6">
        <v>31251.29312023637</v>
      </c>
      <c r="D34" s="6">
        <v>28415.22194342372</v>
      </c>
    </row>
    <row r="35" spans="1:4">
      <c r="A35" s="5">
        <v>45384</v>
      </c>
      <c r="B35" s="6" t="s">
        <v>51</v>
      </c>
      <c r="C35" s="6">
        <v>29887.08904599218</v>
      </c>
      <c r="D35" s="6">
        <v>26802.83250701994</v>
      </c>
    </row>
    <row r="36" spans="1:4">
      <c r="A36" s="5">
        <v>45384</v>
      </c>
      <c r="B36" s="6" t="s">
        <v>52</v>
      </c>
      <c r="C36" s="6">
        <v>24283.11198983505</v>
      </c>
      <c r="D36" s="6">
        <v>21896.87879004586</v>
      </c>
    </row>
    <row r="37" spans="1:4">
      <c r="A37" s="5">
        <v>45384</v>
      </c>
      <c r="B37" s="6" t="s">
        <v>53</v>
      </c>
      <c r="C37" s="6">
        <v>28254.56650751009</v>
      </c>
      <c r="D37" s="6">
        <v>26049.80648894368</v>
      </c>
    </row>
    <row r="38" spans="1:4">
      <c r="A38" s="5">
        <v>45384</v>
      </c>
      <c r="B38" s="6" t="s">
        <v>54</v>
      </c>
      <c r="C38" s="6">
        <v>26258.06480885798</v>
      </c>
      <c r="D38" s="6">
        <v>25001.11184969298</v>
      </c>
    </row>
    <row r="39" spans="1:4">
      <c r="A39" s="5">
        <v>45384</v>
      </c>
      <c r="B39" s="6" t="s">
        <v>55</v>
      </c>
      <c r="C39" s="6">
        <v>26271.42132608603</v>
      </c>
      <c r="D39" s="6">
        <v>24753.50489319595</v>
      </c>
    </row>
    <row r="40" spans="1:4">
      <c r="A40" s="5">
        <v>45384</v>
      </c>
      <c r="B40" s="6" t="s">
        <v>56</v>
      </c>
      <c r="C40" s="6">
        <v>30476.17671411655</v>
      </c>
      <c r="D40" s="6">
        <v>28307.28354815414</v>
      </c>
    </row>
    <row r="41" spans="1:4">
      <c r="A41" s="5">
        <v>45384</v>
      </c>
      <c r="B41" s="6" t="s">
        <v>57</v>
      </c>
      <c r="C41" s="6">
        <v>29257.17506236056</v>
      </c>
      <c r="D41" s="6">
        <v>24755.88041981122</v>
      </c>
    </row>
    <row r="42" spans="1:4">
      <c r="A42" s="5">
        <v>45384</v>
      </c>
      <c r="B42" s="6" t="s">
        <v>58</v>
      </c>
      <c r="C42" s="6">
        <v>23235.8221778104</v>
      </c>
      <c r="D42" s="6">
        <v>21415.6044779412</v>
      </c>
    </row>
    <row r="43" spans="1:4">
      <c r="A43" s="5">
        <v>45384</v>
      </c>
      <c r="B43" s="6" t="s">
        <v>59</v>
      </c>
      <c r="C43" s="6">
        <v>25615.98939707709</v>
      </c>
      <c r="D43" s="6">
        <v>22379.30903368854</v>
      </c>
    </row>
    <row r="44" spans="1:4">
      <c r="A44" s="5">
        <v>45385</v>
      </c>
      <c r="B44" s="6" t="s">
        <v>40</v>
      </c>
      <c r="C44" s="6">
        <v>24377.89653743076</v>
      </c>
      <c r="D44" s="6">
        <v>22745.04817090008</v>
      </c>
    </row>
    <row r="45" spans="1:4">
      <c r="A45" s="5">
        <v>45385</v>
      </c>
      <c r="B45" s="6" t="s">
        <v>41</v>
      </c>
      <c r="C45" s="6">
        <v>25547.72270272372</v>
      </c>
      <c r="D45" s="6">
        <v>22762.08762059871</v>
      </c>
    </row>
    <row r="46" spans="1:4">
      <c r="A46" s="5">
        <v>45385</v>
      </c>
      <c r="B46" s="6" t="s">
        <v>42</v>
      </c>
      <c r="C46" s="6">
        <v>27056.92456220838</v>
      </c>
      <c r="D46" s="6">
        <v>25539.25430012618</v>
      </c>
    </row>
    <row r="47" spans="1:4">
      <c r="A47" s="5">
        <v>45385</v>
      </c>
      <c r="B47" s="6" t="s">
        <v>43</v>
      </c>
      <c r="C47" s="6">
        <v>26766.61662749091</v>
      </c>
      <c r="D47" s="6">
        <v>24708.72296800402</v>
      </c>
    </row>
    <row r="48" spans="1:4">
      <c r="A48" s="5">
        <v>45385</v>
      </c>
      <c r="B48" s="6" t="s">
        <v>44</v>
      </c>
      <c r="C48" s="6">
        <v>28705.56177005695</v>
      </c>
      <c r="D48" s="6">
        <v>28586.585759366</v>
      </c>
    </row>
    <row r="49" spans="1:4">
      <c r="A49" s="5">
        <v>45385</v>
      </c>
      <c r="B49" s="6" t="s">
        <v>45</v>
      </c>
      <c r="C49" s="6">
        <v>29751.25159297959</v>
      </c>
      <c r="D49" s="6">
        <v>28717.92369838731</v>
      </c>
    </row>
    <row r="50" spans="1:4">
      <c r="A50" s="5">
        <v>45385</v>
      </c>
      <c r="B50" s="6" t="s">
        <v>46</v>
      </c>
      <c r="C50" s="6">
        <v>24721.62979701954</v>
      </c>
      <c r="D50" s="6">
        <v>23178.46101553183</v>
      </c>
    </row>
    <row r="51" spans="1:4">
      <c r="A51" s="5">
        <v>45385</v>
      </c>
      <c r="B51" s="6" t="s">
        <v>47</v>
      </c>
      <c r="C51" s="6">
        <v>26377.04859251005</v>
      </c>
      <c r="D51" s="6">
        <v>23878.8611355333</v>
      </c>
    </row>
    <row r="52" spans="1:4">
      <c r="A52" s="5">
        <v>45385</v>
      </c>
      <c r="B52" s="6" t="s">
        <v>48</v>
      </c>
      <c r="C52" s="6">
        <v>27904.28252221486</v>
      </c>
      <c r="D52" s="6">
        <v>23900.37063590214</v>
      </c>
    </row>
    <row r="53" spans="1:4">
      <c r="A53" s="5">
        <v>45385</v>
      </c>
      <c r="B53" s="6" t="s">
        <v>49</v>
      </c>
      <c r="C53" s="6">
        <v>25698.85432961837</v>
      </c>
      <c r="D53" s="6">
        <v>22451.26714012587</v>
      </c>
    </row>
    <row r="54" spans="1:4">
      <c r="A54" s="5">
        <v>45385</v>
      </c>
      <c r="B54" s="6" t="s">
        <v>50</v>
      </c>
      <c r="C54" s="6">
        <v>28799.07159213294</v>
      </c>
      <c r="D54" s="6">
        <v>24286.87886044251</v>
      </c>
    </row>
    <row r="55" spans="1:4">
      <c r="A55" s="5">
        <v>45385</v>
      </c>
      <c r="B55" s="6" t="s">
        <v>51</v>
      </c>
      <c r="C55" s="6">
        <v>28882.6656161154</v>
      </c>
      <c r="D55" s="6">
        <v>25027.95548423797</v>
      </c>
    </row>
    <row r="56" spans="1:4">
      <c r="A56" s="5">
        <v>45385</v>
      </c>
      <c r="B56" s="6" t="s">
        <v>52</v>
      </c>
      <c r="C56" s="6">
        <v>24822.5769329155</v>
      </c>
      <c r="D56" s="6">
        <v>21467.51154495196</v>
      </c>
    </row>
    <row r="57" spans="1:4">
      <c r="A57" s="5">
        <v>45385</v>
      </c>
      <c r="B57" s="6" t="s">
        <v>53</v>
      </c>
      <c r="C57" s="6">
        <v>24381.18040475171</v>
      </c>
      <c r="D57" s="6">
        <v>22952.86356973227</v>
      </c>
    </row>
    <row r="58" spans="1:4">
      <c r="A58" s="5">
        <v>45385</v>
      </c>
      <c r="B58" s="6" t="s">
        <v>54</v>
      </c>
      <c r="C58" s="6">
        <v>26996.28042766694</v>
      </c>
      <c r="D58" s="6">
        <v>24021.14259899832</v>
      </c>
    </row>
    <row r="59" spans="1:4">
      <c r="A59" s="5">
        <v>45385</v>
      </c>
      <c r="B59" s="6" t="s">
        <v>55</v>
      </c>
      <c r="C59" s="6">
        <v>28440.64051379966</v>
      </c>
      <c r="D59" s="6">
        <v>26568.22246573297</v>
      </c>
    </row>
    <row r="60" spans="1:4">
      <c r="A60" s="5">
        <v>45385</v>
      </c>
      <c r="B60" s="6" t="s">
        <v>56</v>
      </c>
      <c r="C60" s="6">
        <v>27256.35837212835</v>
      </c>
      <c r="D60" s="6">
        <v>25328.58944624463</v>
      </c>
    </row>
    <row r="61" spans="1:4">
      <c r="A61" s="5">
        <v>45385</v>
      </c>
      <c r="B61" s="6" t="s">
        <v>57</v>
      </c>
      <c r="C61" s="6">
        <v>27011.87839410516</v>
      </c>
      <c r="D61" s="6">
        <v>25624.13686758803</v>
      </c>
    </row>
    <row r="62" spans="1:4">
      <c r="A62" s="5">
        <v>45385</v>
      </c>
      <c r="B62" s="6" t="s">
        <v>58</v>
      </c>
      <c r="C62" s="6">
        <v>26973.45159910811</v>
      </c>
      <c r="D62" s="6">
        <v>24858.20404170362</v>
      </c>
    </row>
    <row r="63" spans="1:4">
      <c r="A63" s="5">
        <v>45385</v>
      </c>
      <c r="B63" s="6" t="s">
        <v>59</v>
      </c>
      <c r="C63" s="6">
        <v>26100.70824486856</v>
      </c>
      <c r="D63" s="6">
        <v>24273.65698806779</v>
      </c>
    </row>
    <row r="64" spans="1:4">
      <c r="A64" s="5">
        <v>45386</v>
      </c>
      <c r="B64" s="6" t="s">
        <v>40</v>
      </c>
      <c r="C64" s="6">
        <v>25419.07962589613</v>
      </c>
      <c r="D64" s="6">
        <v>22935.50918916542</v>
      </c>
    </row>
    <row r="65" spans="1:4">
      <c r="A65" s="5">
        <v>45386</v>
      </c>
      <c r="B65" s="6" t="s">
        <v>41</v>
      </c>
      <c r="C65" s="6">
        <v>28073.89114993584</v>
      </c>
      <c r="D65" s="6">
        <v>25997.76914249688</v>
      </c>
    </row>
    <row r="66" spans="1:4">
      <c r="A66" s="5">
        <v>45386</v>
      </c>
      <c r="B66" s="6" t="s">
        <v>42</v>
      </c>
      <c r="C66" s="6">
        <v>27713.34297292136</v>
      </c>
      <c r="D66" s="6">
        <v>26464.15579297644</v>
      </c>
    </row>
    <row r="67" spans="1:4">
      <c r="A67" s="5">
        <v>45386</v>
      </c>
      <c r="B67" s="6" t="s">
        <v>43</v>
      </c>
      <c r="C67" s="6">
        <v>25698.54245611846</v>
      </c>
      <c r="D67" s="6">
        <v>24919.35849855993</v>
      </c>
    </row>
    <row r="68" spans="1:4">
      <c r="A68" s="5">
        <v>45386</v>
      </c>
      <c r="B68" s="6" t="s">
        <v>44</v>
      </c>
      <c r="C68" s="6">
        <v>27250.06129531514</v>
      </c>
      <c r="D68" s="6">
        <v>27584.78706661012</v>
      </c>
    </row>
    <row r="69" spans="1:4">
      <c r="A69" s="5">
        <v>45386</v>
      </c>
      <c r="B69" s="6" t="s">
        <v>45</v>
      </c>
      <c r="C69" s="6">
        <v>29397.60169820387</v>
      </c>
      <c r="D69" s="6">
        <v>27901.26936284541</v>
      </c>
    </row>
    <row r="70" spans="1:4">
      <c r="A70" s="5">
        <v>45386</v>
      </c>
      <c r="B70" s="6" t="s">
        <v>46</v>
      </c>
      <c r="C70" s="6">
        <v>25262.60999666289</v>
      </c>
      <c r="D70" s="6">
        <v>23380.69065317247</v>
      </c>
    </row>
    <row r="71" spans="1:4">
      <c r="A71" s="5">
        <v>45386</v>
      </c>
      <c r="B71" s="6" t="s">
        <v>47</v>
      </c>
      <c r="C71" s="6">
        <v>25426.01420103598</v>
      </c>
      <c r="D71" s="6">
        <v>22934.79266004496</v>
      </c>
    </row>
    <row r="72" spans="1:4">
      <c r="A72" s="5">
        <v>45386</v>
      </c>
      <c r="B72" s="6" t="s">
        <v>48</v>
      </c>
      <c r="C72" s="6">
        <v>24762.9702766798</v>
      </c>
      <c r="D72" s="6">
        <v>22949.33412581586</v>
      </c>
    </row>
    <row r="73" spans="1:4">
      <c r="A73" s="5">
        <v>45386</v>
      </c>
      <c r="B73" s="6" t="s">
        <v>49</v>
      </c>
      <c r="C73" s="6">
        <v>24865.94147335583</v>
      </c>
      <c r="D73" s="6">
        <v>22163.41380645543</v>
      </c>
    </row>
    <row r="74" spans="1:4">
      <c r="A74" s="5">
        <v>45386</v>
      </c>
      <c r="B74" s="6" t="s">
        <v>50</v>
      </c>
      <c r="C74" s="6">
        <v>25937.10734927582</v>
      </c>
      <c r="D74" s="6">
        <v>24666.58731530758</v>
      </c>
    </row>
    <row r="75" spans="1:4">
      <c r="A75" s="5">
        <v>45386</v>
      </c>
      <c r="B75" s="6" t="s">
        <v>51</v>
      </c>
      <c r="C75" s="6">
        <v>28497.32415888026</v>
      </c>
      <c r="D75" s="6">
        <v>26086.74455381759</v>
      </c>
    </row>
    <row r="76" spans="1:4">
      <c r="A76" s="5">
        <v>45386</v>
      </c>
      <c r="B76" s="6" t="s">
        <v>52</v>
      </c>
      <c r="C76" s="6">
        <v>25746.13816217452</v>
      </c>
      <c r="D76" s="6">
        <v>25061.66901644808</v>
      </c>
    </row>
    <row r="77" spans="1:4">
      <c r="A77" s="5">
        <v>45386</v>
      </c>
      <c r="B77" s="6" t="s">
        <v>53</v>
      </c>
      <c r="C77" s="6">
        <v>27196.15682625788</v>
      </c>
      <c r="D77" s="6">
        <v>25367.04608503272</v>
      </c>
    </row>
    <row r="78" spans="1:4">
      <c r="A78" s="5">
        <v>45386</v>
      </c>
      <c r="B78" s="6" t="s">
        <v>54</v>
      </c>
      <c r="C78" s="6">
        <v>26319.38627814459</v>
      </c>
      <c r="D78" s="6">
        <v>23919.74801571817</v>
      </c>
    </row>
    <row r="79" spans="1:4">
      <c r="A79" s="5">
        <v>45386</v>
      </c>
      <c r="B79" s="6" t="s">
        <v>55</v>
      </c>
      <c r="C79" s="6">
        <v>28363.04372826177</v>
      </c>
      <c r="D79" s="6">
        <v>22189.16798738916</v>
      </c>
    </row>
    <row r="80" spans="1:4">
      <c r="A80" s="5">
        <v>45386</v>
      </c>
      <c r="B80" s="6" t="s">
        <v>56</v>
      </c>
      <c r="C80" s="6">
        <v>26595.636030268</v>
      </c>
      <c r="D80" s="6">
        <v>24699.88563177384</v>
      </c>
    </row>
    <row r="81" spans="1:4">
      <c r="A81" s="5">
        <v>45386</v>
      </c>
      <c r="B81" s="6" t="s">
        <v>57</v>
      </c>
      <c r="C81" s="6">
        <v>30781.23541478654</v>
      </c>
      <c r="D81" s="6">
        <v>26801.44951133203</v>
      </c>
    </row>
    <row r="82" spans="1:4">
      <c r="A82" s="5">
        <v>45386</v>
      </c>
      <c r="B82" s="6" t="s">
        <v>58</v>
      </c>
      <c r="C82" s="6">
        <v>22480.48085474387</v>
      </c>
      <c r="D82" s="6">
        <v>18645.80753588547</v>
      </c>
    </row>
    <row r="83" spans="1:4">
      <c r="A83" s="5">
        <v>45386</v>
      </c>
      <c r="B83" s="6" t="s">
        <v>59</v>
      </c>
      <c r="C83" s="6">
        <v>25231.45519032551</v>
      </c>
      <c r="D83" s="6">
        <v>22748.20932796563</v>
      </c>
    </row>
    <row r="84" spans="1:4">
      <c r="A84" s="5">
        <v>45387</v>
      </c>
      <c r="B84" s="6" t="s">
        <v>40</v>
      </c>
      <c r="C84" s="6">
        <v>26698.62942416221</v>
      </c>
      <c r="D84" s="6">
        <v>23575.03053621255</v>
      </c>
    </row>
    <row r="85" spans="1:4">
      <c r="A85" s="5">
        <v>45387</v>
      </c>
      <c r="B85" s="6" t="s">
        <v>41</v>
      </c>
      <c r="C85" s="6">
        <v>26098.42659991841</v>
      </c>
      <c r="D85" s="6">
        <v>23614.43017809502</v>
      </c>
    </row>
    <row r="86" spans="1:4">
      <c r="A86" s="5">
        <v>45387</v>
      </c>
      <c r="B86" s="6" t="s">
        <v>42</v>
      </c>
      <c r="C86" s="6">
        <v>24269.04540719253</v>
      </c>
      <c r="D86" s="6">
        <v>22290.26223095536</v>
      </c>
    </row>
    <row r="87" spans="1:4">
      <c r="A87" s="5">
        <v>45387</v>
      </c>
      <c r="B87" s="6" t="s">
        <v>43</v>
      </c>
      <c r="C87" s="6">
        <v>26896.0243749042</v>
      </c>
      <c r="D87" s="6">
        <v>26128.43344414511</v>
      </c>
    </row>
    <row r="88" spans="1:4">
      <c r="A88" s="5">
        <v>45387</v>
      </c>
      <c r="B88" s="6" t="s">
        <v>44</v>
      </c>
      <c r="C88" s="6">
        <v>25731.52569906754</v>
      </c>
      <c r="D88" s="6">
        <v>25099.15854645943</v>
      </c>
    </row>
    <row r="89" spans="1:4">
      <c r="A89" s="5">
        <v>45387</v>
      </c>
      <c r="B89" s="6" t="s">
        <v>45</v>
      </c>
      <c r="C89" s="6">
        <v>27148.56317629856</v>
      </c>
      <c r="D89" s="6">
        <v>23532.09654604863</v>
      </c>
    </row>
    <row r="90" spans="1:4">
      <c r="A90" s="5">
        <v>45387</v>
      </c>
      <c r="B90" s="6" t="s">
        <v>46</v>
      </c>
      <c r="C90" s="6">
        <v>24230.22354496198</v>
      </c>
      <c r="D90" s="6">
        <v>21407.54967474937</v>
      </c>
    </row>
    <row r="91" spans="1:4">
      <c r="A91" s="5">
        <v>45387</v>
      </c>
      <c r="B91" s="6" t="s">
        <v>47</v>
      </c>
      <c r="C91" s="6">
        <v>26226.85487601045</v>
      </c>
      <c r="D91" s="6">
        <v>24637.22775783319</v>
      </c>
    </row>
    <row r="92" spans="1:4">
      <c r="A92" s="5">
        <v>45387</v>
      </c>
      <c r="B92" s="6" t="s">
        <v>48</v>
      </c>
      <c r="C92" s="6">
        <v>27469.10612010215</v>
      </c>
      <c r="D92" s="6">
        <v>23179.34813739145</v>
      </c>
    </row>
    <row r="93" spans="1:4">
      <c r="A93" s="5">
        <v>45387</v>
      </c>
      <c r="B93" s="6" t="s">
        <v>49</v>
      </c>
      <c r="C93" s="6">
        <v>27860.65842363885</v>
      </c>
      <c r="D93" s="6">
        <v>23536.40502468721</v>
      </c>
    </row>
    <row r="94" spans="1:4">
      <c r="A94" s="5">
        <v>45387</v>
      </c>
      <c r="B94" s="6" t="s">
        <v>50</v>
      </c>
      <c r="C94" s="6">
        <v>26463.99757635018</v>
      </c>
      <c r="D94" s="6">
        <v>22746.43923934064</v>
      </c>
    </row>
    <row r="95" spans="1:4">
      <c r="A95" s="5">
        <v>45387</v>
      </c>
      <c r="B95" s="6" t="s">
        <v>51</v>
      </c>
      <c r="C95" s="6">
        <v>29224.84573631137</v>
      </c>
      <c r="D95" s="6">
        <v>26788.64679988666</v>
      </c>
    </row>
    <row r="96" spans="1:4">
      <c r="A96" s="5">
        <v>45387</v>
      </c>
      <c r="B96" s="6" t="s">
        <v>52</v>
      </c>
      <c r="C96" s="6">
        <v>23939.80665669613</v>
      </c>
      <c r="D96" s="6">
        <v>22717.26203220341</v>
      </c>
    </row>
    <row r="97" spans="1:4">
      <c r="A97" s="5">
        <v>45387</v>
      </c>
      <c r="B97" s="6" t="s">
        <v>53</v>
      </c>
      <c r="C97" s="6">
        <v>23702.58133568092</v>
      </c>
      <c r="D97" s="6">
        <v>22985.96212633246</v>
      </c>
    </row>
    <row r="98" spans="1:4">
      <c r="A98" s="5">
        <v>45387</v>
      </c>
      <c r="B98" s="6" t="s">
        <v>54</v>
      </c>
      <c r="C98" s="6">
        <v>24715.77758573534</v>
      </c>
      <c r="D98" s="6">
        <v>21729.09027312078</v>
      </c>
    </row>
    <row r="99" spans="1:4">
      <c r="A99" s="5">
        <v>45387</v>
      </c>
      <c r="B99" s="6" t="s">
        <v>55</v>
      </c>
      <c r="C99" s="6">
        <v>27442.89757419933</v>
      </c>
      <c r="D99" s="6">
        <v>24026.7814212333</v>
      </c>
    </row>
    <row r="100" spans="1:4">
      <c r="A100" s="5">
        <v>45387</v>
      </c>
      <c r="B100" s="6" t="s">
        <v>56</v>
      </c>
      <c r="C100" s="6">
        <v>25281.62256056165</v>
      </c>
      <c r="D100" s="6">
        <v>22954.26836783437</v>
      </c>
    </row>
    <row r="101" spans="1:4">
      <c r="A101" s="5">
        <v>45387</v>
      </c>
      <c r="B101" s="6" t="s">
        <v>57</v>
      </c>
      <c r="C101" s="6">
        <v>26734.39703226376</v>
      </c>
      <c r="D101" s="6">
        <v>24215.14118571125</v>
      </c>
    </row>
    <row r="102" spans="1:4">
      <c r="A102" s="5">
        <v>45387</v>
      </c>
      <c r="B102" s="6" t="s">
        <v>58</v>
      </c>
      <c r="C102" s="6">
        <v>22127.06974538393</v>
      </c>
      <c r="D102" s="6">
        <v>20010.45942268863</v>
      </c>
    </row>
    <row r="103" spans="1:4">
      <c r="A103" s="5">
        <v>45387</v>
      </c>
      <c r="B103" s="6" t="s">
        <v>59</v>
      </c>
      <c r="C103" s="6">
        <v>25462.48317613706</v>
      </c>
      <c r="D103" s="6">
        <v>24113.99119255787</v>
      </c>
    </row>
    <row r="104" spans="1:4">
      <c r="A104" s="5">
        <v>45388</v>
      </c>
      <c r="B104" s="6" t="s">
        <v>40</v>
      </c>
      <c r="C104" s="6">
        <v>24928.79516899813</v>
      </c>
      <c r="D104" s="6">
        <v>23046.05026397881</v>
      </c>
    </row>
    <row r="105" spans="1:4">
      <c r="A105" s="5">
        <v>45388</v>
      </c>
      <c r="B105" s="6" t="s">
        <v>41</v>
      </c>
      <c r="C105" s="6">
        <v>27045.85210549819</v>
      </c>
      <c r="D105" s="6">
        <v>25491.60159955621</v>
      </c>
    </row>
    <row r="106" spans="1:4">
      <c r="A106" s="5">
        <v>45388</v>
      </c>
      <c r="B106" s="6" t="s">
        <v>42</v>
      </c>
      <c r="C106" s="6">
        <v>24528.0648616666</v>
      </c>
      <c r="D106" s="6">
        <v>21950.30076772544</v>
      </c>
    </row>
    <row r="107" spans="1:4">
      <c r="A107" s="5">
        <v>45388</v>
      </c>
      <c r="B107" s="6" t="s">
        <v>43</v>
      </c>
      <c r="C107" s="6">
        <v>27475.33410915358</v>
      </c>
      <c r="D107" s="6">
        <v>26139.40162998925</v>
      </c>
    </row>
    <row r="108" spans="1:4">
      <c r="A108" s="5">
        <v>45388</v>
      </c>
      <c r="B108" s="6" t="s">
        <v>44</v>
      </c>
      <c r="C108" s="6">
        <v>27922.26337726407</v>
      </c>
      <c r="D108" s="6">
        <v>23957.82398264858</v>
      </c>
    </row>
    <row r="109" spans="1:4">
      <c r="A109" s="5">
        <v>45388</v>
      </c>
      <c r="B109" s="6" t="s">
        <v>45</v>
      </c>
      <c r="C109" s="6">
        <v>26856.05012944729</v>
      </c>
      <c r="D109" s="6">
        <v>21520.74526888067</v>
      </c>
    </row>
    <row r="110" spans="1:4">
      <c r="A110" s="5">
        <v>45388</v>
      </c>
      <c r="B110" s="6" t="s">
        <v>46</v>
      </c>
      <c r="C110" s="6">
        <v>25752.33978615527</v>
      </c>
      <c r="D110" s="6">
        <v>23337.29624186311</v>
      </c>
    </row>
    <row r="111" spans="1:4">
      <c r="A111" s="5">
        <v>45388</v>
      </c>
      <c r="B111" s="6" t="s">
        <v>47</v>
      </c>
      <c r="C111" s="6">
        <v>24334.20683468158</v>
      </c>
      <c r="D111" s="6">
        <v>22245.16686937579</v>
      </c>
    </row>
    <row r="112" spans="1:4">
      <c r="A112" s="5">
        <v>45388</v>
      </c>
      <c r="B112" s="6" t="s">
        <v>48</v>
      </c>
      <c r="C112" s="6">
        <v>26094.36940250608</v>
      </c>
      <c r="D112" s="6">
        <v>24071.76227500247</v>
      </c>
    </row>
    <row r="113" spans="1:4">
      <c r="A113" s="5">
        <v>45388</v>
      </c>
      <c r="B113" s="6" t="s">
        <v>49</v>
      </c>
      <c r="C113" s="6">
        <v>26382.89636601409</v>
      </c>
      <c r="D113" s="6">
        <v>23725.04195441094</v>
      </c>
    </row>
    <row r="114" spans="1:4">
      <c r="A114" s="5">
        <v>45388</v>
      </c>
      <c r="B114" s="6" t="s">
        <v>50</v>
      </c>
      <c r="C114" s="6">
        <v>26939.40871980268</v>
      </c>
      <c r="D114" s="6">
        <v>25291.69984006534</v>
      </c>
    </row>
    <row r="115" spans="1:4">
      <c r="A115" s="5">
        <v>45388</v>
      </c>
      <c r="B115" s="6" t="s">
        <v>51</v>
      </c>
      <c r="C115" s="6">
        <v>31630.07809510653</v>
      </c>
      <c r="D115" s="6">
        <v>30116.54977046112</v>
      </c>
    </row>
    <row r="116" spans="1:4">
      <c r="A116" s="5">
        <v>45388</v>
      </c>
      <c r="B116" s="6" t="s">
        <v>52</v>
      </c>
      <c r="C116" s="6">
        <v>24914.33446589335</v>
      </c>
      <c r="D116" s="6">
        <v>23934.05862407025</v>
      </c>
    </row>
    <row r="117" spans="1:4">
      <c r="A117" s="5">
        <v>45388</v>
      </c>
      <c r="B117" s="6" t="s">
        <v>53</v>
      </c>
      <c r="C117" s="6">
        <v>25531.05196348815</v>
      </c>
      <c r="D117" s="6">
        <v>20907.2257877981</v>
      </c>
    </row>
    <row r="118" spans="1:4">
      <c r="A118" s="5">
        <v>45388</v>
      </c>
      <c r="B118" s="6" t="s">
        <v>54</v>
      </c>
      <c r="C118" s="6">
        <v>26414.67887568164</v>
      </c>
      <c r="D118" s="6">
        <v>22056.62678308564</v>
      </c>
    </row>
    <row r="119" spans="1:4">
      <c r="A119" s="5">
        <v>45388</v>
      </c>
      <c r="B119" s="6" t="s">
        <v>55</v>
      </c>
      <c r="C119" s="6">
        <v>25454.57301489519</v>
      </c>
      <c r="D119" s="6">
        <v>24059.60062349133</v>
      </c>
    </row>
    <row r="120" spans="1:4">
      <c r="A120" s="5">
        <v>45388</v>
      </c>
      <c r="B120" s="6" t="s">
        <v>56</v>
      </c>
      <c r="C120" s="6">
        <v>26555.68948470875</v>
      </c>
      <c r="D120" s="6">
        <v>22541.16636919514</v>
      </c>
    </row>
    <row r="121" spans="1:4">
      <c r="A121" s="5">
        <v>45388</v>
      </c>
      <c r="B121" s="6" t="s">
        <v>57</v>
      </c>
      <c r="C121" s="6">
        <v>27522.65918510316</v>
      </c>
      <c r="D121" s="6">
        <v>26298.16939440405</v>
      </c>
    </row>
    <row r="122" spans="1:4">
      <c r="A122" s="5">
        <v>45388</v>
      </c>
      <c r="B122" s="6" t="s">
        <v>58</v>
      </c>
      <c r="C122" s="6">
        <v>26266.17610400031</v>
      </c>
      <c r="D122" s="6">
        <v>23391.55928572175</v>
      </c>
    </row>
    <row r="123" spans="1:4">
      <c r="A123" s="5">
        <v>45388</v>
      </c>
      <c r="B123" s="6" t="s">
        <v>59</v>
      </c>
      <c r="C123" s="6">
        <v>23478.922182178</v>
      </c>
      <c r="D123" s="6">
        <v>21902.182326887</v>
      </c>
    </row>
    <row r="124" spans="1:4">
      <c r="A124" s="5">
        <v>45389</v>
      </c>
      <c r="B124" s="6" t="s">
        <v>40</v>
      </c>
      <c r="C124" s="6">
        <v>24119.72288892384</v>
      </c>
      <c r="D124" s="6">
        <v>22901.93775778058</v>
      </c>
    </row>
    <row r="125" spans="1:4">
      <c r="A125" s="5">
        <v>45389</v>
      </c>
      <c r="B125" s="6" t="s">
        <v>41</v>
      </c>
      <c r="C125" s="6">
        <v>27133.08689817886</v>
      </c>
      <c r="D125" s="6">
        <v>25865.16557315505</v>
      </c>
    </row>
    <row r="126" spans="1:4">
      <c r="A126" s="5">
        <v>45389</v>
      </c>
      <c r="B126" s="6" t="s">
        <v>42</v>
      </c>
      <c r="C126" s="6">
        <v>26759.24204086838</v>
      </c>
      <c r="D126" s="6">
        <v>26401.79347894979</v>
      </c>
    </row>
    <row r="127" spans="1:4">
      <c r="A127" s="5">
        <v>45389</v>
      </c>
      <c r="B127" s="6" t="s">
        <v>43</v>
      </c>
      <c r="C127" s="6">
        <v>25535.0442587217</v>
      </c>
      <c r="D127" s="6">
        <v>23341.70360513747</v>
      </c>
    </row>
    <row r="128" spans="1:4">
      <c r="A128" s="5">
        <v>45389</v>
      </c>
      <c r="B128" s="6" t="s">
        <v>44</v>
      </c>
      <c r="C128" s="6">
        <v>28600.49881998287</v>
      </c>
      <c r="D128" s="6">
        <v>24613.86871633549</v>
      </c>
    </row>
    <row r="129" spans="1:4">
      <c r="A129" s="5">
        <v>45389</v>
      </c>
      <c r="B129" s="6" t="s">
        <v>45</v>
      </c>
      <c r="C129" s="6">
        <v>27671.42201386049</v>
      </c>
      <c r="D129" s="6">
        <v>24748.22158724567</v>
      </c>
    </row>
    <row r="130" spans="1:4">
      <c r="A130" s="5">
        <v>45389</v>
      </c>
      <c r="B130" s="6" t="s">
        <v>46</v>
      </c>
      <c r="C130" s="6">
        <v>23832.95299072659</v>
      </c>
      <c r="D130" s="6">
        <v>20877.73150883943</v>
      </c>
    </row>
    <row r="131" spans="1:4">
      <c r="A131" s="5">
        <v>45389</v>
      </c>
      <c r="B131" s="6" t="s">
        <v>47</v>
      </c>
      <c r="C131" s="6">
        <v>25335.66576482761</v>
      </c>
      <c r="D131" s="6">
        <v>23705.40907305748</v>
      </c>
    </row>
    <row r="132" spans="1:4">
      <c r="A132" s="5">
        <v>45389</v>
      </c>
      <c r="B132" s="6" t="s">
        <v>48</v>
      </c>
      <c r="C132" s="6">
        <v>26486.24327717206</v>
      </c>
      <c r="D132" s="6">
        <v>23585.21545712993</v>
      </c>
    </row>
    <row r="133" spans="1:4">
      <c r="A133" s="5">
        <v>45389</v>
      </c>
      <c r="B133" s="6" t="s">
        <v>49</v>
      </c>
      <c r="C133" s="6">
        <v>27537.77206319746</v>
      </c>
      <c r="D133" s="6">
        <v>25999.09203550837</v>
      </c>
    </row>
    <row r="134" spans="1:4">
      <c r="A134" s="5">
        <v>45389</v>
      </c>
      <c r="B134" s="6" t="s">
        <v>50</v>
      </c>
      <c r="C134" s="6">
        <v>27730.30115255893</v>
      </c>
      <c r="D134" s="6">
        <v>26882.11752295751</v>
      </c>
    </row>
    <row r="135" spans="1:4">
      <c r="A135" s="5">
        <v>45389</v>
      </c>
      <c r="B135" s="6" t="s">
        <v>51</v>
      </c>
      <c r="C135" s="6">
        <v>30385.28793069817</v>
      </c>
      <c r="D135" s="6">
        <v>27598.49450927697</v>
      </c>
    </row>
    <row r="136" spans="1:4">
      <c r="A136" s="5">
        <v>45389</v>
      </c>
      <c r="B136" s="6" t="s">
        <v>52</v>
      </c>
      <c r="C136" s="6">
        <v>24448.96167561228</v>
      </c>
      <c r="D136" s="6">
        <v>22782.65425611794</v>
      </c>
    </row>
    <row r="137" spans="1:4">
      <c r="A137" s="5">
        <v>45389</v>
      </c>
      <c r="B137" s="6" t="s">
        <v>53</v>
      </c>
      <c r="C137" s="6">
        <v>26196.93876836988</v>
      </c>
      <c r="D137" s="6">
        <v>23745.20507039635</v>
      </c>
    </row>
    <row r="138" spans="1:4">
      <c r="A138" s="5">
        <v>45389</v>
      </c>
      <c r="B138" s="6" t="s">
        <v>54</v>
      </c>
      <c r="C138" s="6">
        <v>26544.25744438269</v>
      </c>
      <c r="D138" s="6">
        <v>22503.49013156927</v>
      </c>
    </row>
    <row r="139" spans="1:4">
      <c r="A139" s="5">
        <v>45389</v>
      </c>
      <c r="B139" s="6" t="s">
        <v>55</v>
      </c>
      <c r="C139" s="6">
        <v>25846.4510293379</v>
      </c>
      <c r="D139" s="6">
        <v>24446.9787863839</v>
      </c>
    </row>
    <row r="140" spans="1:4">
      <c r="A140" s="5">
        <v>45389</v>
      </c>
      <c r="B140" s="6" t="s">
        <v>56</v>
      </c>
      <c r="C140" s="6">
        <v>29591.06624382024</v>
      </c>
      <c r="D140" s="6">
        <v>27949.22589777848</v>
      </c>
    </row>
    <row r="141" spans="1:4">
      <c r="A141" s="5">
        <v>45389</v>
      </c>
      <c r="B141" s="6" t="s">
        <v>57</v>
      </c>
      <c r="C141" s="6">
        <v>27794.67927356237</v>
      </c>
      <c r="D141" s="6">
        <v>27097.35080558061</v>
      </c>
    </row>
    <row r="142" spans="1:4">
      <c r="A142" s="5">
        <v>45389</v>
      </c>
      <c r="B142" s="6" t="s">
        <v>58</v>
      </c>
      <c r="C142" s="6">
        <v>24359.85774314742</v>
      </c>
      <c r="D142" s="6">
        <v>22937.81073401365</v>
      </c>
    </row>
    <row r="143" spans="1:4">
      <c r="A143" s="5">
        <v>45389</v>
      </c>
      <c r="B143" s="6" t="s">
        <v>59</v>
      </c>
      <c r="C143" s="6">
        <v>24664.96074142613</v>
      </c>
      <c r="D143" s="6">
        <v>22611.46300755523</v>
      </c>
    </row>
    <row r="144" spans="1:4">
      <c r="A144" s="5">
        <v>45390</v>
      </c>
      <c r="B144" s="6" t="s">
        <v>40</v>
      </c>
      <c r="C144" s="6">
        <v>24381.29529392059</v>
      </c>
      <c r="D144" s="6">
        <v>24733.74126652916</v>
      </c>
    </row>
    <row r="145" spans="1:4">
      <c r="A145" s="5">
        <v>45390</v>
      </c>
      <c r="B145" s="6" t="s">
        <v>41</v>
      </c>
      <c r="C145" s="6">
        <v>26385.69426813712</v>
      </c>
      <c r="D145" s="6">
        <v>24456.86598296214</v>
      </c>
    </row>
    <row r="146" spans="1:4">
      <c r="A146" s="5">
        <v>45390</v>
      </c>
      <c r="B146" s="6" t="s">
        <v>42</v>
      </c>
      <c r="C146" s="6">
        <v>25613.72833541501</v>
      </c>
      <c r="D146" s="6">
        <v>21632.02506290679</v>
      </c>
    </row>
    <row r="147" spans="1:4">
      <c r="A147" s="5">
        <v>45390</v>
      </c>
      <c r="B147" s="6" t="s">
        <v>43</v>
      </c>
      <c r="C147" s="6">
        <v>26605.49483706398</v>
      </c>
      <c r="D147" s="6">
        <v>22601.11756038076</v>
      </c>
    </row>
    <row r="148" spans="1:4">
      <c r="A148" s="5">
        <v>45390</v>
      </c>
      <c r="B148" s="6" t="s">
        <v>44</v>
      </c>
      <c r="C148" s="6">
        <v>30008.40936595072</v>
      </c>
      <c r="D148" s="6">
        <v>26800.69588824168</v>
      </c>
    </row>
    <row r="149" spans="1:4">
      <c r="A149" s="5">
        <v>45390</v>
      </c>
      <c r="B149" s="6" t="s">
        <v>45</v>
      </c>
      <c r="C149" s="6">
        <v>29271.14272389935</v>
      </c>
      <c r="D149" s="6">
        <v>23992.10616620529</v>
      </c>
    </row>
    <row r="150" spans="1:4">
      <c r="A150" s="5">
        <v>45390</v>
      </c>
      <c r="B150" s="6" t="s">
        <v>46</v>
      </c>
      <c r="C150" s="6">
        <v>24146.8102695619</v>
      </c>
      <c r="D150" s="6">
        <v>21869.40401566982</v>
      </c>
    </row>
    <row r="151" spans="1:4">
      <c r="A151" s="5">
        <v>45390</v>
      </c>
      <c r="B151" s="6" t="s">
        <v>47</v>
      </c>
      <c r="C151" s="6">
        <v>25008.87420254589</v>
      </c>
      <c r="D151" s="6">
        <v>23061.32629349172</v>
      </c>
    </row>
    <row r="152" spans="1:4">
      <c r="A152" s="5">
        <v>45390</v>
      </c>
      <c r="B152" s="6" t="s">
        <v>48</v>
      </c>
      <c r="C152" s="6">
        <v>27540.40212752936</v>
      </c>
      <c r="D152" s="6">
        <v>27010.35656163341</v>
      </c>
    </row>
    <row r="153" spans="1:4">
      <c r="A153" s="5">
        <v>45390</v>
      </c>
      <c r="B153" s="6" t="s">
        <v>49</v>
      </c>
      <c r="C153" s="6">
        <v>27407.30305439605</v>
      </c>
      <c r="D153" s="6">
        <v>26577.80633148919</v>
      </c>
    </row>
    <row r="154" spans="1:4">
      <c r="A154" s="5">
        <v>45390</v>
      </c>
      <c r="B154" s="6" t="s">
        <v>50</v>
      </c>
      <c r="C154" s="6">
        <v>25205.04169178376</v>
      </c>
      <c r="D154" s="6">
        <v>23481.56788700681</v>
      </c>
    </row>
    <row r="155" spans="1:4">
      <c r="A155" s="5">
        <v>45390</v>
      </c>
      <c r="B155" s="6" t="s">
        <v>51</v>
      </c>
      <c r="C155" s="6">
        <v>28399.27111965449</v>
      </c>
      <c r="D155" s="6">
        <v>26058.11343256855</v>
      </c>
    </row>
    <row r="156" spans="1:4">
      <c r="A156" s="5">
        <v>45390</v>
      </c>
      <c r="B156" s="6" t="s">
        <v>52</v>
      </c>
      <c r="C156" s="6">
        <v>25430.10413414668</v>
      </c>
      <c r="D156" s="6">
        <v>22179.54075880683</v>
      </c>
    </row>
    <row r="157" spans="1:4">
      <c r="A157" s="5">
        <v>45390</v>
      </c>
      <c r="B157" s="6" t="s">
        <v>53</v>
      </c>
      <c r="C157" s="6">
        <v>23086.51422240897</v>
      </c>
      <c r="D157" s="6">
        <v>21791.14264283408</v>
      </c>
    </row>
    <row r="158" spans="1:4">
      <c r="A158" s="5">
        <v>45390</v>
      </c>
      <c r="B158" s="6" t="s">
        <v>54</v>
      </c>
      <c r="C158" s="6">
        <v>25648.92837961008</v>
      </c>
      <c r="D158" s="6">
        <v>22705.25610436531</v>
      </c>
    </row>
    <row r="159" spans="1:4">
      <c r="A159" s="5">
        <v>45390</v>
      </c>
      <c r="B159" s="6" t="s">
        <v>55</v>
      </c>
      <c r="C159" s="6">
        <v>24412.28999126624</v>
      </c>
      <c r="D159" s="6">
        <v>22046.93797467872</v>
      </c>
    </row>
    <row r="160" spans="1:4">
      <c r="A160" s="5">
        <v>45390</v>
      </c>
      <c r="B160" s="6" t="s">
        <v>56</v>
      </c>
      <c r="C160" s="6">
        <v>29111.00474994389</v>
      </c>
      <c r="D160" s="6">
        <v>28240.68718733524</v>
      </c>
    </row>
    <row r="161" spans="1:4">
      <c r="A161" s="5">
        <v>45390</v>
      </c>
      <c r="B161" s="6" t="s">
        <v>57</v>
      </c>
      <c r="C161" s="6">
        <v>27405.97823545548</v>
      </c>
      <c r="D161" s="6">
        <v>25599.67121027517</v>
      </c>
    </row>
    <row r="162" spans="1:4">
      <c r="A162" s="5">
        <v>45390</v>
      </c>
      <c r="B162" s="6" t="s">
        <v>58</v>
      </c>
      <c r="C162" s="6">
        <v>22535.64676773373</v>
      </c>
      <c r="D162" s="6">
        <v>20828.76724272102</v>
      </c>
    </row>
    <row r="163" spans="1:4">
      <c r="A163" s="5">
        <v>45390</v>
      </c>
      <c r="B163" s="6" t="s">
        <v>59</v>
      </c>
      <c r="C163" s="6">
        <v>25023.89422785641</v>
      </c>
      <c r="D163" s="6">
        <v>24326.16886429354</v>
      </c>
    </row>
    <row r="164" spans="1:4">
      <c r="A164" s="5">
        <v>45391</v>
      </c>
      <c r="B164" s="6" t="s">
        <v>40</v>
      </c>
      <c r="C164" s="6">
        <v>25263.51572564073</v>
      </c>
      <c r="D164" s="6">
        <v>25955.86657349784</v>
      </c>
    </row>
    <row r="165" spans="1:4">
      <c r="A165" s="5">
        <v>45391</v>
      </c>
      <c r="B165" s="6" t="s">
        <v>41</v>
      </c>
      <c r="C165" s="6">
        <v>25126.3464370152</v>
      </c>
      <c r="D165" s="6">
        <v>22781.08531766941</v>
      </c>
    </row>
    <row r="166" spans="1:4">
      <c r="A166" s="5">
        <v>45391</v>
      </c>
      <c r="B166" s="6" t="s">
        <v>42</v>
      </c>
      <c r="C166" s="6">
        <v>27806.30278201079</v>
      </c>
      <c r="D166" s="6">
        <v>25995.65738793304</v>
      </c>
    </row>
    <row r="167" spans="1:4">
      <c r="A167" s="5">
        <v>45391</v>
      </c>
      <c r="B167" s="6" t="s">
        <v>43</v>
      </c>
      <c r="C167" s="6">
        <v>26578.44534384728</v>
      </c>
      <c r="D167" s="6">
        <v>23154.31244795053</v>
      </c>
    </row>
    <row r="168" spans="1:4">
      <c r="A168" s="5">
        <v>45391</v>
      </c>
      <c r="B168" s="6" t="s">
        <v>44</v>
      </c>
      <c r="C168" s="6">
        <v>29769.06116318314</v>
      </c>
      <c r="D168" s="6">
        <v>27959.4011402848</v>
      </c>
    </row>
    <row r="169" spans="1:4">
      <c r="A169" s="5">
        <v>45391</v>
      </c>
      <c r="B169" s="6" t="s">
        <v>45</v>
      </c>
      <c r="C169" s="6">
        <v>29423.68146944992</v>
      </c>
      <c r="D169" s="6">
        <v>27930.66522065723</v>
      </c>
    </row>
    <row r="170" spans="1:4">
      <c r="A170" s="5">
        <v>45391</v>
      </c>
      <c r="B170" s="6" t="s">
        <v>46</v>
      </c>
      <c r="C170" s="6">
        <v>25312.13967457084</v>
      </c>
      <c r="D170" s="6">
        <v>25322.23713362655</v>
      </c>
    </row>
    <row r="171" spans="1:4">
      <c r="A171" s="5">
        <v>45391</v>
      </c>
      <c r="B171" s="6" t="s">
        <v>47</v>
      </c>
      <c r="C171" s="6">
        <v>24566.2957781618</v>
      </c>
      <c r="D171" s="6">
        <v>23341.87942279668</v>
      </c>
    </row>
    <row r="172" spans="1:4">
      <c r="A172" s="5">
        <v>45391</v>
      </c>
      <c r="B172" s="6" t="s">
        <v>48</v>
      </c>
      <c r="C172" s="6">
        <v>25143.21310632093</v>
      </c>
      <c r="D172" s="6">
        <v>24200.73431767931</v>
      </c>
    </row>
    <row r="173" spans="1:4">
      <c r="A173" s="5">
        <v>45391</v>
      </c>
      <c r="B173" s="6" t="s">
        <v>49</v>
      </c>
      <c r="C173" s="6">
        <v>27471.55451009203</v>
      </c>
      <c r="D173" s="6">
        <v>27268.45501322258</v>
      </c>
    </row>
    <row r="174" spans="1:4">
      <c r="A174" s="5">
        <v>45391</v>
      </c>
      <c r="B174" s="6" t="s">
        <v>50</v>
      </c>
      <c r="C174" s="6">
        <v>27086.51159837258</v>
      </c>
      <c r="D174" s="6">
        <v>24261.67684977662</v>
      </c>
    </row>
    <row r="175" spans="1:4">
      <c r="A175" s="5">
        <v>45391</v>
      </c>
      <c r="B175" s="6" t="s">
        <v>51</v>
      </c>
      <c r="C175" s="6">
        <v>27332.29662716776</v>
      </c>
      <c r="D175" s="6">
        <v>25154.05067085808</v>
      </c>
    </row>
    <row r="176" spans="1:4">
      <c r="A176" s="5">
        <v>45391</v>
      </c>
      <c r="B176" s="6" t="s">
        <v>52</v>
      </c>
      <c r="C176" s="6">
        <v>25699.49014272359</v>
      </c>
      <c r="D176" s="6">
        <v>25150.93656684761</v>
      </c>
    </row>
    <row r="177" spans="1:4">
      <c r="A177" s="5">
        <v>45391</v>
      </c>
      <c r="B177" s="6" t="s">
        <v>53</v>
      </c>
      <c r="C177" s="6">
        <v>25998.14450225759</v>
      </c>
      <c r="D177" s="6">
        <v>22896.81394434276</v>
      </c>
    </row>
    <row r="178" spans="1:4">
      <c r="A178" s="5">
        <v>45391</v>
      </c>
      <c r="B178" s="6" t="s">
        <v>54</v>
      </c>
      <c r="C178" s="6">
        <v>26326.18359760945</v>
      </c>
      <c r="D178" s="6">
        <v>22474.21708752139</v>
      </c>
    </row>
    <row r="179" spans="1:4">
      <c r="A179" s="5">
        <v>45391</v>
      </c>
      <c r="B179" s="6" t="s">
        <v>55</v>
      </c>
      <c r="C179" s="6">
        <v>27689.77304539581</v>
      </c>
      <c r="D179" s="6">
        <v>27118.52358437907</v>
      </c>
    </row>
    <row r="180" spans="1:4">
      <c r="A180" s="5">
        <v>45391</v>
      </c>
      <c r="B180" s="6" t="s">
        <v>56</v>
      </c>
      <c r="C180" s="6">
        <v>30383.32996108932</v>
      </c>
      <c r="D180" s="6">
        <v>28174.33089715001</v>
      </c>
    </row>
    <row r="181" spans="1:4">
      <c r="A181" s="5">
        <v>45391</v>
      </c>
      <c r="B181" s="6" t="s">
        <v>57</v>
      </c>
      <c r="C181" s="6">
        <v>27341.70875895671</v>
      </c>
      <c r="D181" s="6">
        <v>26590.47476631232</v>
      </c>
    </row>
    <row r="182" spans="1:4">
      <c r="A182" s="5">
        <v>45391</v>
      </c>
      <c r="B182" s="6" t="s">
        <v>58</v>
      </c>
      <c r="C182" s="6">
        <v>24832.82918686729</v>
      </c>
      <c r="D182" s="6">
        <v>25590.60987639664</v>
      </c>
    </row>
    <row r="183" spans="1:4">
      <c r="A183" s="5">
        <v>45391</v>
      </c>
      <c r="B183" s="6" t="s">
        <v>59</v>
      </c>
      <c r="C183" s="6">
        <v>23560.21184433297</v>
      </c>
      <c r="D183" s="6">
        <v>19849.96058603212</v>
      </c>
    </row>
    <row r="184" spans="1:4">
      <c r="A184" s="5">
        <v>45392</v>
      </c>
      <c r="B184" s="6" t="s">
        <v>40</v>
      </c>
      <c r="C184" s="6">
        <v>25861.87580470566</v>
      </c>
      <c r="D184" s="6">
        <v>24186.00793885147</v>
      </c>
    </row>
    <row r="185" spans="1:4">
      <c r="A185" s="5">
        <v>45392</v>
      </c>
      <c r="B185" s="6" t="s">
        <v>41</v>
      </c>
      <c r="C185" s="6">
        <v>26000.49321523037</v>
      </c>
      <c r="D185" s="6">
        <v>23210.62742344326</v>
      </c>
    </row>
    <row r="186" spans="1:4">
      <c r="A186" s="5">
        <v>45392</v>
      </c>
      <c r="B186" s="6" t="s">
        <v>42</v>
      </c>
      <c r="C186" s="6">
        <v>28869.40657199969</v>
      </c>
      <c r="D186" s="6">
        <v>25631.39304811699</v>
      </c>
    </row>
    <row r="187" spans="1:4">
      <c r="A187" s="5">
        <v>45392</v>
      </c>
      <c r="B187" s="6" t="s">
        <v>43</v>
      </c>
      <c r="C187" s="6">
        <v>26767.35803702513</v>
      </c>
      <c r="D187" s="6">
        <v>25013.5093683036</v>
      </c>
    </row>
    <row r="188" spans="1:4">
      <c r="A188" s="5">
        <v>45392</v>
      </c>
      <c r="B188" s="6" t="s">
        <v>44</v>
      </c>
      <c r="C188" s="6">
        <v>29173.9111464076</v>
      </c>
      <c r="D188" s="6">
        <v>28496.16417151184</v>
      </c>
    </row>
    <row r="189" spans="1:4">
      <c r="A189" s="5">
        <v>45392</v>
      </c>
      <c r="B189" s="6" t="s">
        <v>45</v>
      </c>
      <c r="C189" s="6">
        <v>30267.38317309678</v>
      </c>
      <c r="D189" s="6">
        <v>27464.95097779121</v>
      </c>
    </row>
    <row r="190" spans="1:4">
      <c r="A190" s="5">
        <v>45392</v>
      </c>
      <c r="B190" s="6" t="s">
        <v>46</v>
      </c>
      <c r="C190" s="6">
        <v>24909.34690478731</v>
      </c>
      <c r="D190" s="6">
        <v>23894.74692613309</v>
      </c>
    </row>
    <row r="191" spans="1:4">
      <c r="A191" s="5">
        <v>45392</v>
      </c>
      <c r="B191" s="6" t="s">
        <v>47</v>
      </c>
      <c r="C191" s="6">
        <v>25722.93858450157</v>
      </c>
      <c r="D191" s="6">
        <v>25294.55348845714</v>
      </c>
    </row>
    <row r="192" spans="1:4">
      <c r="A192" s="5">
        <v>45392</v>
      </c>
      <c r="B192" s="6" t="s">
        <v>48</v>
      </c>
      <c r="C192" s="6">
        <v>26021.05407400154</v>
      </c>
      <c r="D192" s="6">
        <v>25947.95455406436</v>
      </c>
    </row>
    <row r="193" spans="1:4">
      <c r="A193" s="5">
        <v>45392</v>
      </c>
      <c r="B193" s="6" t="s">
        <v>49</v>
      </c>
      <c r="C193" s="6">
        <v>25526.48958961348</v>
      </c>
      <c r="D193" s="6">
        <v>21148.4556456091</v>
      </c>
    </row>
    <row r="194" spans="1:4">
      <c r="A194" s="5">
        <v>45392</v>
      </c>
      <c r="B194" s="6" t="s">
        <v>50</v>
      </c>
      <c r="C194" s="6">
        <v>28280.79686734377</v>
      </c>
      <c r="D194" s="6">
        <v>24684.30863413705</v>
      </c>
    </row>
    <row r="195" spans="1:4">
      <c r="A195" s="5">
        <v>45392</v>
      </c>
      <c r="B195" s="6" t="s">
        <v>51</v>
      </c>
      <c r="C195" s="6">
        <v>28860.89191326914</v>
      </c>
      <c r="D195" s="6">
        <v>27277.68072442251</v>
      </c>
    </row>
    <row r="196" spans="1:4">
      <c r="A196" s="5">
        <v>45392</v>
      </c>
      <c r="B196" s="6" t="s">
        <v>52</v>
      </c>
      <c r="C196" s="6">
        <v>22045.1924476248</v>
      </c>
      <c r="D196" s="6">
        <v>21112.50144071632</v>
      </c>
    </row>
    <row r="197" spans="1:4">
      <c r="A197" s="5">
        <v>45392</v>
      </c>
      <c r="B197" s="6" t="s">
        <v>53</v>
      </c>
      <c r="C197" s="6">
        <v>26475.88033608464</v>
      </c>
      <c r="D197" s="6">
        <v>24428.93622531694</v>
      </c>
    </row>
    <row r="198" spans="1:4">
      <c r="A198" s="5">
        <v>45392</v>
      </c>
      <c r="B198" s="6" t="s">
        <v>54</v>
      </c>
      <c r="C198" s="6">
        <v>27868.59610168012</v>
      </c>
      <c r="D198" s="6">
        <v>26438.79337212931</v>
      </c>
    </row>
    <row r="199" spans="1:4">
      <c r="A199" s="5">
        <v>45392</v>
      </c>
      <c r="B199" s="6" t="s">
        <v>55</v>
      </c>
      <c r="C199" s="6">
        <v>26759.38192663775</v>
      </c>
      <c r="D199" s="6">
        <v>23658.9331772475</v>
      </c>
    </row>
    <row r="200" spans="1:4">
      <c r="A200" s="5">
        <v>45392</v>
      </c>
      <c r="B200" s="6" t="s">
        <v>56</v>
      </c>
      <c r="C200" s="6">
        <v>28174.23502348728</v>
      </c>
      <c r="D200" s="6">
        <v>27227.11350730687</v>
      </c>
    </row>
    <row r="201" spans="1:4">
      <c r="A201" s="5">
        <v>45392</v>
      </c>
      <c r="B201" s="6" t="s">
        <v>57</v>
      </c>
      <c r="C201" s="6">
        <v>30001.71267187232</v>
      </c>
      <c r="D201" s="6">
        <v>28884.12647174384</v>
      </c>
    </row>
    <row r="202" spans="1:4">
      <c r="A202" s="5">
        <v>45392</v>
      </c>
      <c r="B202" s="6" t="s">
        <v>58</v>
      </c>
      <c r="C202" s="6">
        <v>26706.58528345948</v>
      </c>
      <c r="D202" s="6">
        <v>24471.66150864365</v>
      </c>
    </row>
    <row r="203" spans="1:4">
      <c r="A203" s="5">
        <v>45392</v>
      </c>
      <c r="B203" s="6" t="s">
        <v>59</v>
      </c>
      <c r="C203" s="6">
        <v>24074.64612520761</v>
      </c>
      <c r="D203" s="6">
        <v>20713.69910582485</v>
      </c>
    </row>
    <row r="204" spans="1:4">
      <c r="A204" s="5">
        <v>45393</v>
      </c>
      <c r="B204" s="6" t="s">
        <v>40</v>
      </c>
      <c r="C204" s="6">
        <v>23235.87897643784</v>
      </c>
      <c r="D204" s="6">
        <v>19784.64390352149</v>
      </c>
    </row>
    <row r="205" spans="1:4">
      <c r="A205" s="5">
        <v>45393</v>
      </c>
      <c r="B205" s="6" t="s">
        <v>41</v>
      </c>
      <c r="C205" s="6">
        <v>23806.04895724609</v>
      </c>
      <c r="D205" s="6">
        <v>21357.86556252417</v>
      </c>
    </row>
    <row r="206" spans="1:4">
      <c r="A206" s="5">
        <v>45393</v>
      </c>
      <c r="B206" s="6" t="s">
        <v>42</v>
      </c>
      <c r="C206" s="6">
        <v>27787.26889552613</v>
      </c>
      <c r="D206" s="6">
        <v>25049.60322255357</v>
      </c>
    </row>
    <row r="207" spans="1:4">
      <c r="A207" s="5">
        <v>45393</v>
      </c>
      <c r="B207" s="6" t="s">
        <v>43</v>
      </c>
      <c r="C207" s="6">
        <v>27268.1391388162</v>
      </c>
      <c r="D207" s="6">
        <v>24455.9167092496</v>
      </c>
    </row>
    <row r="208" spans="1:4">
      <c r="A208" s="5">
        <v>45393</v>
      </c>
      <c r="B208" s="6" t="s">
        <v>44</v>
      </c>
      <c r="C208" s="6">
        <v>25053.39444109996</v>
      </c>
      <c r="D208" s="6">
        <v>23576.69321686849</v>
      </c>
    </row>
    <row r="209" spans="1:4">
      <c r="A209" s="5">
        <v>45393</v>
      </c>
      <c r="B209" s="6" t="s">
        <v>45</v>
      </c>
      <c r="C209" s="6">
        <v>27985.36672384193</v>
      </c>
      <c r="D209" s="6">
        <v>26742.22172652793</v>
      </c>
    </row>
    <row r="210" spans="1:4">
      <c r="A210" s="5">
        <v>45393</v>
      </c>
      <c r="B210" s="6" t="s">
        <v>46</v>
      </c>
      <c r="C210" s="6">
        <v>25313.42080572145</v>
      </c>
      <c r="D210" s="6">
        <v>23473.4154917278</v>
      </c>
    </row>
    <row r="211" spans="1:4">
      <c r="A211" s="5">
        <v>45393</v>
      </c>
      <c r="B211" s="6" t="s">
        <v>47</v>
      </c>
      <c r="C211" s="6">
        <v>26303.28332123084</v>
      </c>
      <c r="D211" s="6">
        <v>26394.63237015266</v>
      </c>
    </row>
    <row r="212" spans="1:4">
      <c r="A212" s="5">
        <v>45393</v>
      </c>
      <c r="B212" s="6" t="s">
        <v>48</v>
      </c>
      <c r="C212" s="6">
        <v>27496.80294890588</v>
      </c>
      <c r="D212" s="6">
        <v>23578.70404829637</v>
      </c>
    </row>
    <row r="213" spans="1:4">
      <c r="A213" s="5">
        <v>45393</v>
      </c>
      <c r="B213" s="6" t="s">
        <v>49</v>
      </c>
      <c r="C213" s="6">
        <v>27351.06744364513</v>
      </c>
      <c r="D213" s="6">
        <v>24252.05898875986</v>
      </c>
    </row>
    <row r="214" spans="1:4">
      <c r="A214" s="5">
        <v>45393</v>
      </c>
      <c r="B214" s="6" t="s">
        <v>50</v>
      </c>
      <c r="C214" s="6">
        <v>29254.7547622785</v>
      </c>
      <c r="D214" s="6">
        <v>27658.3376328538</v>
      </c>
    </row>
    <row r="215" spans="1:4">
      <c r="A215" s="5">
        <v>45393</v>
      </c>
      <c r="B215" s="6" t="s">
        <v>51</v>
      </c>
      <c r="C215" s="6">
        <v>28666.85839876831</v>
      </c>
      <c r="D215" s="6">
        <v>26929.6164659983</v>
      </c>
    </row>
    <row r="216" spans="1:4">
      <c r="A216" s="5">
        <v>45393</v>
      </c>
      <c r="B216" s="6" t="s">
        <v>52</v>
      </c>
      <c r="C216" s="6">
        <v>23683.01896596964</v>
      </c>
      <c r="D216" s="6">
        <v>21913.04473382422</v>
      </c>
    </row>
    <row r="217" spans="1:4">
      <c r="A217" s="5">
        <v>45393</v>
      </c>
      <c r="B217" s="6" t="s">
        <v>53</v>
      </c>
      <c r="C217" s="6">
        <v>25820.35392114894</v>
      </c>
      <c r="D217" s="6">
        <v>24977.8592959211</v>
      </c>
    </row>
    <row r="218" spans="1:4">
      <c r="A218" s="5">
        <v>45393</v>
      </c>
      <c r="B218" s="6" t="s">
        <v>54</v>
      </c>
      <c r="C218" s="6">
        <v>25643.73968016664</v>
      </c>
      <c r="D218" s="6">
        <v>22584.36536900993</v>
      </c>
    </row>
    <row r="219" spans="1:4">
      <c r="A219" s="5">
        <v>45393</v>
      </c>
      <c r="B219" s="6" t="s">
        <v>55</v>
      </c>
      <c r="C219" s="6">
        <v>27727.07218193043</v>
      </c>
      <c r="D219" s="6">
        <v>25906.07416994625</v>
      </c>
    </row>
    <row r="220" spans="1:4">
      <c r="A220" s="5">
        <v>45393</v>
      </c>
      <c r="B220" s="6" t="s">
        <v>56</v>
      </c>
      <c r="C220" s="6">
        <v>30515.59856659763</v>
      </c>
      <c r="D220" s="6">
        <v>28556.96877184981</v>
      </c>
    </row>
    <row r="221" spans="1:4">
      <c r="A221" s="5">
        <v>45393</v>
      </c>
      <c r="B221" s="6" t="s">
        <v>57</v>
      </c>
      <c r="C221" s="6">
        <v>29490.14360117954</v>
      </c>
      <c r="D221" s="6">
        <v>24720.82002608398</v>
      </c>
    </row>
    <row r="222" spans="1:4">
      <c r="A222" s="5">
        <v>45393</v>
      </c>
      <c r="B222" s="6" t="s">
        <v>58</v>
      </c>
      <c r="C222" s="6">
        <v>24305.57766611919</v>
      </c>
      <c r="D222" s="6">
        <v>22661.08924341945</v>
      </c>
    </row>
    <row r="223" spans="1:4">
      <c r="A223" s="5">
        <v>45393</v>
      </c>
      <c r="B223" s="6" t="s">
        <v>59</v>
      </c>
      <c r="C223" s="6">
        <v>24946.06453044033</v>
      </c>
      <c r="D223" s="6">
        <v>22453.15425894204</v>
      </c>
    </row>
    <row r="224" spans="1:4">
      <c r="A224" s="5">
        <v>45394</v>
      </c>
      <c r="B224" s="6" t="s">
        <v>40</v>
      </c>
      <c r="C224" s="6">
        <v>23148.00645542789</v>
      </c>
      <c r="D224" s="6">
        <v>20184.74471130298</v>
      </c>
    </row>
    <row r="225" spans="1:4">
      <c r="A225" s="5">
        <v>45394</v>
      </c>
      <c r="B225" s="6" t="s">
        <v>41</v>
      </c>
      <c r="C225" s="6">
        <v>25342.28587711504</v>
      </c>
      <c r="D225" s="6">
        <v>24643.78351382971</v>
      </c>
    </row>
    <row r="226" spans="1:4">
      <c r="A226" s="5">
        <v>45394</v>
      </c>
      <c r="B226" s="6" t="s">
        <v>42</v>
      </c>
      <c r="C226" s="6">
        <v>25887.19305200745</v>
      </c>
      <c r="D226" s="6">
        <v>23903.2673439076</v>
      </c>
    </row>
    <row r="227" spans="1:4">
      <c r="A227" s="5">
        <v>45394</v>
      </c>
      <c r="B227" s="6" t="s">
        <v>43</v>
      </c>
      <c r="C227" s="6">
        <v>27113.618882649</v>
      </c>
      <c r="D227" s="6">
        <v>27101.64236103992</v>
      </c>
    </row>
    <row r="228" spans="1:4">
      <c r="A228" s="5">
        <v>45394</v>
      </c>
      <c r="B228" s="6" t="s">
        <v>44</v>
      </c>
      <c r="C228" s="6">
        <v>28330.45882859204</v>
      </c>
      <c r="D228" s="6">
        <v>26382.29205116764</v>
      </c>
    </row>
    <row r="229" spans="1:4">
      <c r="A229" s="5">
        <v>45394</v>
      </c>
      <c r="B229" s="6" t="s">
        <v>45</v>
      </c>
      <c r="C229" s="6">
        <v>29429.22400022512</v>
      </c>
      <c r="D229" s="6">
        <v>28123.82038446886</v>
      </c>
    </row>
    <row r="230" spans="1:4">
      <c r="A230" s="5">
        <v>45394</v>
      </c>
      <c r="B230" s="6" t="s">
        <v>46</v>
      </c>
      <c r="C230" s="6">
        <v>23932.9574728421</v>
      </c>
      <c r="D230" s="6">
        <v>25129.6053464842</v>
      </c>
    </row>
    <row r="231" spans="1:4">
      <c r="A231" s="5">
        <v>45394</v>
      </c>
      <c r="B231" s="6" t="s">
        <v>47</v>
      </c>
      <c r="C231" s="6">
        <v>26786.30631761351</v>
      </c>
      <c r="D231" s="6">
        <v>24195.61713196306</v>
      </c>
    </row>
    <row r="232" spans="1:4">
      <c r="A232" s="5">
        <v>45394</v>
      </c>
      <c r="B232" s="6" t="s">
        <v>48</v>
      </c>
      <c r="C232" s="6">
        <v>25794.71258602051</v>
      </c>
      <c r="D232" s="6">
        <v>22092.85758405309</v>
      </c>
    </row>
    <row r="233" spans="1:4">
      <c r="A233" s="5">
        <v>45394</v>
      </c>
      <c r="B233" s="6" t="s">
        <v>49</v>
      </c>
      <c r="C233" s="6">
        <v>26370.71452970901</v>
      </c>
      <c r="D233" s="6">
        <v>25273.83211335813</v>
      </c>
    </row>
    <row r="234" spans="1:4">
      <c r="A234" s="5">
        <v>45394</v>
      </c>
      <c r="B234" s="6" t="s">
        <v>50</v>
      </c>
      <c r="C234" s="6">
        <v>30344.48138347399</v>
      </c>
      <c r="D234" s="6">
        <v>27540.39197705064</v>
      </c>
    </row>
    <row r="235" spans="1:4">
      <c r="A235" s="5">
        <v>45394</v>
      </c>
      <c r="B235" s="6" t="s">
        <v>51</v>
      </c>
      <c r="C235" s="6">
        <v>26825.67307004303</v>
      </c>
      <c r="D235" s="6">
        <v>26401.95273618196</v>
      </c>
    </row>
    <row r="236" spans="1:4">
      <c r="A236" s="5">
        <v>45394</v>
      </c>
      <c r="B236" s="6" t="s">
        <v>52</v>
      </c>
      <c r="C236" s="6">
        <v>22871.47343651258</v>
      </c>
      <c r="D236" s="6">
        <v>21362.0844738074</v>
      </c>
    </row>
    <row r="237" spans="1:4">
      <c r="A237" s="5">
        <v>45394</v>
      </c>
      <c r="B237" s="6" t="s">
        <v>53</v>
      </c>
      <c r="C237" s="6">
        <v>22770.06144186714</v>
      </c>
      <c r="D237" s="6">
        <v>22045.78397865115</v>
      </c>
    </row>
    <row r="238" spans="1:4">
      <c r="A238" s="5">
        <v>45394</v>
      </c>
      <c r="B238" s="6" t="s">
        <v>54</v>
      </c>
      <c r="C238" s="6">
        <v>25789.18564521921</v>
      </c>
      <c r="D238" s="6">
        <v>23851.16331061871</v>
      </c>
    </row>
    <row r="239" spans="1:4">
      <c r="A239" s="5">
        <v>45394</v>
      </c>
      <c r="B239" s="6" t="s">
        <v>55</v>
      </c>
      <c r="C239" s="6">
        <v>25646.48173053158</v>
      </c>
      <c r="D239" s="6">
        <v>24915.79762892114</v>
      </c>
    </row>
    <row r="240" spans="1:4">
      <c r="A240" s="5">
        <v>45394</v>
      </c>
      <c r="B240" s="6" t="s">
        <v>56</v>
      </c>
      <c r="C240" s="6">
        <v>29098.40781269192</v>
      </c>
      <c r="D240" s="6">
        <v>24398.85922053652</v>
      </c>
    </row>
    <row r="241" spans="1:4">
      <c r="A241" s="5">
        <v>45394</v>
      </c>
      <c r="B241" s="6" t="s">
        <v>57</v>
      </c>
      <c r="C241" s="6">
        <v>27789.74026229084</v>
      </c>
      <c r="D241" s="6">
        <v>25750.99819907191</v>
      </c>
    </row>
    <row r="242" spans="1:4">
      <c r="A242" s="5">
        <v>45394</v>
      </c>
      <c r="B242" s="6" t="s">
        <v>58</v>
      </c>
      <c r="C242" s="6">
        <v>21708.81286273787</v>
      </c>
      <c r="D242" s="6">
        <v>20110.4124411296</v>
      </c>
    </row>
    <row r="243" spans="1:4">
      <c r="A243" s="5">
        <v>45394</v>
      </c>
      <c r="B243" s="6" t="s">
        <v>59</v>
      </c>
      <c r="C243" s="6">
        <v>25218.68622573799</v>
      </c>
      <c r="D243" s="6">
        <v>22509.81236855433</v>
      </c>
    </row>
    <row r="244" spans="1:4">
      <c r="A244" s="5">
        <v>45395</v>
      </c>
      <c r="B244" s="6" t="s">
        <v>40</v>
      </c>
      <c r="C244" s="6">
        <v>25105.54866432651</v>
      </c>
      <c r="D244" s="6">
        <v>22255.29405268449</v>
      </c>
    </row>
    <row r="245" spans="1:4">
      <c r="A245" s="5">
        <v>45395</v>
      </c>
      <c r="B245" s="6" t="s">
        <v>41</v>
      </c>
      <c r="C245" s="6">
        <v>24945.91717650786</v>
      </c>
      <c r="D245" s="6">
        <v>21906.01746385322</v>
      </c>
    </row>
    <row r="246" spans="1:4">
      <c r="A246" s="5">
        <v>45395</v>
      </c>
      <c r="B246" s="6" t="s">
        <v>42</v>
      </c>
      <c r="C246" s="6">
        <v>25715.12040286576</v>
      </c>
      <c r="D246" s="6">
        <v>24603.11637838262</v>
      </c>
    </row>
    <row r="247" spans="1:4">
      <c r="A247" s="5">
        <v>45395</v>
      </c>
      <c r="B247" s="6" t="s">
        <v>43</v>
      </c>
      <c r="C247" s="6">
        <v>25616.25873347934</v>
      </c>
      <c r="D247" s="6">
        <v>24785.39490666518</v>
      </c>
    </row>
    <row r="248" spans="1:4">
      <c r="A248" s="5">
        <v>45395</v>
      </c>
      <c r="B248" s="6" t="s">
        <v>44</v>
      </c>
      <c r="C248" s="6">
        <v>27055.82470442205</v>
      </c>
      <c r="D248" s="6">
        <v>25510.67082802874</v>
      </c>
    </row>
    <row r="249" spans="1:4">
      <c r="A249" s="5">
        <v>45395</v>
      </c>
      <c r="B249" s="6" t="s">
        <v>45</v>
      </c>
      <c r="C249" s="6">
        <v>28431.91703417446</v>
      </c>
      <c r="D249" s="6">
        <v>27174.54160934059</v>
      </c>
    </row>
    <row r="250" spans="1:4">
      <c r="A250" s="5">
        <v>45395</v>
      </c>
      <c r="B250" s="6" t="s">
        <v>46</v>
      </c>
      <c r="C250" s="6">
        <v>23080.30944137652</v>
      </c>
      <c r="D250" s="6">
        <v>20644.86589305742</v>
      </c>
    </row>
    <row r="251" spans="1:4">
      <c r="A251" s="5">
        <v>45395</v>
      </c>
      <c r="B251" s="6" t="s">
        <v>47</v>
      </c>
      <c r="C251" s="6">
        <v>24738.84218373615</v>
      </c>
      <c r="D251" s="6">
        <v>20802.03093144103</v>
      </c>
    </row>
    <row r="252" spans="1:4">
      <c r="A252" s="5">
        <v>45395</v>
      </c>
      <c r="B252" s="6" t="s">
        <v>48</v>
      </c>
      <c r="C252" s="6">
        <v>25990.17567629002</v>
      </c>
      <c r="D252" s="6">
        <v>23645.74691316457</v>
      </c>
    </row>
    <row r="253" spans="1:4">
      <c r="A253" s="5">
        <v>45395</v>
      </c>
      <c r="B253" s="6" t="s">
        <v>49</v>
      </c>
      <c r="C253" s="6">
        <v>26282.89602488417</v>
      </c>
      <c r="D253" s="6">
        <v>25158.54731792212</v>
      </c>
    </row>
    <row r="254" spans="1:4">
      <c r="A254" s="5">
        <v>45395</v>
      </c>
      <c r="B254" s="6" t="s">
        <v>50</v>
      </c>
      <c r="C254" s="6">
        <v>27601.20892387853</v>
      </c>
      <c r="D254" s="6">
        <v>26107.55127097065</v>
      </c>
    </row>
    <row r="255" spans="1:4">
      <c r="A255" s="5">
        <v>45395</v>
      </c>
      <c r="B255" s="6" t="s">
        <v>51</v>
      </c>
      <c r="C255" s="6">
        <v>30886.68929856078</v>
      </c>
      <c r="D255" s="6">
        <v>27549.08533441672</v>
      </c>
    </row>
    <row r="256" spans="1:4">
      <c r="A256" s="5">
        <v>45395</v>
      </c>
      <c r="B256" s="6" t="s">
        <v>52</v>
      </c>
      <c r="C256" s="6">
        <v>24604.31543562713</v>
      </c>
      <c r="D256" s="6">
        <v>22420.81272580461</v>
      </c>
    </row>
    <row r="257" spans="1:4">
      <c r="A257" s="5">
        <v>45395</v>
      </c>
      <c r="B257" s="6" t="s">
        <v>53</v>
      </c>
      <c r="C257" s="6">
        <v>25499.40113951108</v>
      </c>
      <c r="D257" s="6">
        <v>25054.56012430005</v>
      </c>
    </row>
    <row r="258" spans="1:4">
      <c r="A258" s="5">
        <v>45395</v>
      </c>
      <c r="B258" s="6" t="s">
        <v>54</v>
      </c>
      <c r="C258" s="6">
        <v>25776.65394837426</v>
      </c>
      <c r="D258" s="6">
        <v>24388.1573182175</v>
      </c>
    </row>
    <row r="259" spans="1:4">
      <c r="A259" s="5">
        <v>45395</v>
      </c>
      <c r="B259" s="6" t="s">
        <v>55</v>
      </c>
      <c r="C259" s="6">
        <v>27341.80660483305</v>
      </c>
      <c r="D259" s="6">
        <v>24909.0823606892</v>
      </c>
    </row>
    <row r="260" spans="1:4">
      <c r="A260" s="5">
        <v>45395</v>
      </c>
      <c r="B260" s="6" t="s">
        <v>56</v>
      </c>
      <c r="C260" s="6">
        <v>28611.68165395351</v>
      </c>
      <c r="D260" s="6">
        <v>26625.93817812704</v>
      </c>
    </row>
    <row r="261" spans="1:4">
      <c r="A261" s="5">
        <v>45395</v>
      </c>
      <c r="B261" s="6" t="s">
        <v>57</v>
      </c>
      <c r="C261" s="6">
        <v>28105.99858247165</v>
      </c>
      <c r="D261" s="6">
        <v>26084.98291362363</v>
      </c>
    </row>
    <row r="262" spans="1:4">
      <c r="A262" s="5">
        <v>45395</v>
      </c>
      <c r="B262" s="6" t="s">
        <v>58</v>
      </c>
      <c r="C262" s="6">
        <v>23999.68576880507</v>
      </c>
      <c r="D262" s="6">
        <v>21855.81709241635</v>
      </c>
    </row>
    <row r="263" spans="1:4">
      <c r="A263" s="5">
        <v>45395</v>
      </c>
      <c r="B263" s="6" t="s">
        <v>59</v>
      </c>
      <c r="C263" s="6">
        <v>25169.28350486735</v>
      </c>
      <c r="D263" s="6">
        <v>22601.57192440352</v>
      </c>
    </row>
    <row r="264" spans="1:4">
      <c r="A264" s="5">
        <v>45396</v>
      </c>
      <c r="B264" s="6" t="s">
        <v>40</v>
      </c>
      <c r="C264" s="6">
        <v>25555.39754477566</v>
      </c>
      <c r="D264" s="6">
        <v>24168.31636752688</v>
      </c>
    </row>
    <row r="265" spans="1:4">
      <c r="A265" s="5">
        <v>45396</v>
      </c>
      <c r="B265" s="6" t="s">
        <v>41</v>
      </c>
      <c r="C265" s="6">
        <v>25315.22499711723</v>
      </c>
      <c r="D265" s="6">
        <v>24100.87030655883</v>
      </c>
    </row>
    <row r="266" spans="1:4">
      <c r="A266" s="5">
        <v>45396</v>
      </c>
      <c r="B266" s="6" t="s">
        <v>42</v>
      </c>
      <c r="C266" s="6">
        <v>27112.87460977256</v>
      </c>
      <c r="D266" s="6">
        <v>26377.69871685599</v>
      </c>
    </row>
    <row r="267" spans="1:4">
      <c r="A267" s="5">
        <v>45396</v>
      </c>
      <c r="B267" s="6" t="s">
        <v>43</v>
      </c>
      <c r="C267" s="6">
        <v>27247.71943339471</v>
      </c>
      <c r="D267" s="6">
        <v>25828.1930374166</v>
      </c>
    </row>
    <row r="268" spans="1:4">
      <c r="A268" s="5">
        <v>45396</v>
      </c>
      <c r="B268" s="6" t="s">
        <v>44</v>
      </c>
      <c r="C268" s="6">
        <v>30314.38103097138</v>
      </c>
      <c r="D268" s="6">
        <v>29746.17979759754</v>
      </c>
    </row>
    <row r="269" spans="1:4">
      <c r="A269" s="5">
        <v>45396</v>
      </c>
      <c r="B269" s="6" t="s">
        <v>45</v>
      </c>
      <c r="C269" s="6">
        <v>28132.18095953589</v>
      </c>
      <c r="D269" s="6">
        <v>24546.15748833324</v>
      </c>
    </row>
    <row r="270" spans="1:4">
      <c r="A270" s="5">
        <v>45396</v>
      </c>
      <c r="B270" s="6" t="s">
        <v>46</v>
      </c>
      <c r="C270" s="6">
        <v>26511.41935400996</v>
      </c>
      <c r="D270" s="6">
        <v>23874.68658975228</v>
      </c>
    </row>
    <row r="271" spans="1:4">
      <c r="A271" s="5">
        <v>45396</v>
      </c>
      <c r="B271" s="6" t="s">
        <v>47</v>
      </c>
      <c r="C271" s="6">
        <v>25542.45254296191</v>
      </c>
      <c r="D271" s="6">
        <v>23032.04348983265</v>
      </c>
    </row>
    <row r="272" spans="1:4">
      <c r="A272" s="5">
        <v>45396</v>
      </c>
      <c r="B272" s="6" t="s">
        <v>48</v>
      </c>
      <c r="C272" s="6">
        <v>26662.80374401757</v>
      </c>
      <c r="D272" s="6">
        <v>24816.0810243101</v>
      </c>
    </row>
    <row r="273" spans="1:4">
      <c r="A273" s="5">
        <v>45396</v>
      </c>
      <c r="B273" s="6" t="s">
        <v>49</v>
      </c>
      <c r="C273" s="6">
        <v>26592.53772824048</v>
      </c>
      <c r="D273" s="6">
        <v>24134.931486393</v>
      </c>
    </row>
    <row r="274" spans="1:4">
      <c r="A274" s="5">
        <v>45396</v>
      </c>
      <c r="B274" s="6" t="s">
        <v>50</v>
      </c>
      <c r="C274" s="6">
        <v>26815.16417339647</v>
      </c>
      <c r="D274" s="6">
        <v>25157.06627696203</v>
      </c>
    </row>
    <row r="275" spans="1:4">
      <c r="A275" s="5">
        <v>45396</v>
      </c>
      <c r="B275" s="6" t="s">
        <v>51</v>
      </c>
      <c r="C275" s="6">
        <v>27606.38174216569</v>
      </c>
      <c r="D275" s="6">
        <v>24590.85409460478</v>
      </c>
    </row>
    <row r="276" spans="1:4">
      <c r="A276" s="5">
        <v>45396</v>
      </c>
      <c r="B276" s="6" t="s">
        <v>52</v>
      </c>
      <c r="C276" s="6">
        <v>23694.34409405689</v>
      </c>
      <c r="D276" s="6">
        <v>23088.80585133205</v>
      </c>
    </row>
    <row r="277" spans="1:4">
      <c r="A277" s="5">
        <v>45396</v>
      </c>
      <c r="B277" s="6" t="s">
        <v>53</v>
      </c>
      <c r="C277" s="6">
        <v>24949.7890933015</v>
      </c>
      <c r="D277" s="6">
        <v>24081.87042478271</v>
      </c>
    </row>
    <row r="278" spans="1:4">
      <c r="A278" s="5">
        <v>45396</v>
      </c>
      <c r="B278" s="6" t="s">
        <v>54</v>
      </c>
      <c r="C278" s="6">
        <v>25979.65660766366</v>
      </c>
      <c r="D278" s="6">
        <v>21996.62078706756</v>
      </c>
    </row>
    <row r="279" spans="1:4">
      <c r="A279" s="5">
        <v>45396</v>
      </c>
      <c r="B279" s="6" t="s">
        <v>55</v>
      </c>
      <c r="C279" s="6">
        <v>25934.39140866357</v>
      </c>
      <c r="D279" s="6">
        <v>23323.89502636498</v>
      </c>
    </row>
    <row r="280" spans="1:4">
      <c r="A280" s="5">
        <v>45396</v>
      </c>
      <c r="B280" s="6" t="s">
        <v>56</v>
      </c>
      <c r="C280" s="6">
        <v>29364.48861169169</v>
      </c>
      <c r="D280" s="6">
        <v>25339.40449697798</v>
      </c>
    </row>
    <row r="281" spans="1:4">
      <c r="A281" s="5">
        <v>45396</v>
      </c>
      <c r="B281" s="6" t="s">
        <v>57</v>
      </c>
      <c r="C281" s="6">
        <v>28700.84616969083</v>
      </c>
      <c r="D281" s="6">
        <v>25955.95180635393</v>
      </c>
    </row>
    <row r="282" spans="1:4">
      <c r="A282" s="5">
        <v>45396</v>
      </c>
      <c r="B282" s="6" t="s">
        <v>58</v>
      </c>
      <c r="C282" s="6">
        <v>24304.54718183259</v>
      </c>
      <c r="D282" s="6">
        <v>22681.02089558574</v>
      </c>
    </row>
    <row r="283" spans="1:4">
      <c r="A283" s="5">
        <v>45396</v>
      </c>
      <c r="B283" s="6" t="s">
        <v>59</v>
      </c>
      <c r="C283" s="6">
        <v>27162.89623583265</v>
      </c>
      <c r="D283" s="6">
        <v>26022.06398442037</v>
      </c>
    </row>
    <row r="284" spans="1:4">
      <c r="A284" s="5">
        <v>45397</v>
      </c>
      <c r="B284" s="6" t="s">
        <v>40</v>
      </c>
      <c r="C284" s="6">
        <v>25860.88879518989</v>
      </c>
      <c r="D284" s="6">
        <v>23696.44947354079</v>
      </c>
    </row>
    <row r="285" spans="1:4">
      <c r="A285" s="5">
        <v>45397</v>
      </c>
      <c r="B285" s="6" t="s">
        <v>41</v>
      </c>
      <c r="C285" s="6">
        <v>24092.17561188169</v>
      </c>
      <c r="D285" s="6">
        <v>22453.23436572064</v>
      </c>
    </row>
    <row r="286" spans="1:4">
      <c r="A286" s="5">
        <v>45397</v>
      </c>
      <c r="B286" s="6" t="s">
        <v>42</v>
      </c>
      <c r="C286" s="6">
        <v>24917.38881413486</v>
      </c>
      <c r="D286" s="6">
        <v>23289.26890543507</v>
      </c>
    </row>
    <row r="287" spans="1:4">
      <c r="A287" s="5">
        <v>45397</v>
      </c>
      <c r="B287" s="6" t="s">
        <v>43</v>
      </c>
      <c r="C287" s="6">
        <v>27930.89399862182</v>
      </c>
      <c r="D287" s="6">
        <v>26342.69765098796</v>
      </c>
    </row>
    <row r="288" spans="1:4">
      <c r="A288" s="5">
        <v>45397</v>
      </c>
      <c r="B288" s="6" t="s">
        <v>44</v>
      </c>
      <c r="C288" s="6">
        <v>26741.47105677317</v>
      </c>
      <c r="D288" s="6">
        <v>25171.22578541054</v>
      </c>
    </row>
    <row r="289" spans="1:4">
      <c r="A289" s="5">
        <v>45397</v>
      </c>
      <c r="B289" s="6" t="s">
        <v>45</v>
      </c>
      <c r="C289" s="6">
        <v>27831.39902002961</v>
      </c>
      <c r="D289" s="6">
        <v>25030.77543141712</v>
      </c>
    </row>
    <row r="290" spans="1:4">
      <c r="A290" s="5">
        <v>45397</v>
      </c>
      <c r="B290" s="6" t="s">
        <v>46</v>
      </c>
      <c r="C290" s="6">
        <v>21728.93488834833</v>
      </c>
      <c r="D290" s="6">
        <v>19821.41749007912</v>
      </c>
    </row>
    <row r="291" spans="1:4">
      <c r="A291" s="5">
        <v>45397</v>
      </c>
      <c r="B291" s="6" t="s">
        <v>47</v>
      </c>
      <c r="C291" s="6">
        <v>24296.20273835395</v>
      </c>
      <c r="D291" s="6">
        <v>22837.33188861827</v>
      </c>
    </row>
    <row r="292" spans="1:4">
      <c r="A292" s="5">
        <v>45397</v>
      </c>
      <c r="B292" s="6" t="s">
        <v>48</v>
      </c>
      <c r="C292" s="6">
        <v>28831.53979104467</v>
      </c>
      <c r="D292" s="6">
        <v>26528.38331438619</v>
      </c>
    </row>
    <row r="293" spans="1:4">
      <c r="A293" s="5">
        <v>45397</v>
      </c>
      <c r="B293" s="6" t="s">
        <v>49</v>
      </c>
      <c r="C293" s="6">
        <v>26349.87828056713</v>
      </c>
      <c r="D293" s="6">
        <v>25792.56134160515</v>
      </c>
    </row>
    <row r="294" spans="1:4">
      <c r="A294" s="5">
        <v>45397</v>
      </c>
      <c r="B294" s="6" t="s">
        <v>50</v>
      </c>
      <c r="C294" s="6">
        <v>28462.13818140584</v>
      </c>
      <c r="D294" s="6">
        <v>27014.4957950924</v>
      </c>
    </row>
    <row r="295" spans="1:4">
      <c r="A295" s="5">
        <v>45397</v>
      </c>
      <c r="B295" s="6" t="s">
        <v>51</v>
      </c>
      <c r="C295" s="6">
        <v>27833.61629827409</v>
      </c>
      <c r="D295" s="6">
        <v>28866.90523947018</v>
      </c>
    </row>
    <row r="296" spans="1:4">
      <c r="A296" s="5">
        <v>45397</v>
      </c>
      <c r="B296" s="6" t="s">
        <v>52</v>
      </c>
      <c r="C296" s="6">
        <v>25010.45032173226</v>
      </c>
      <c r="D296" s="6">
        <v>25052.53444679817</v>
      </c>
    </row>
    <row r="297" spans="1:4">
      <c r="A297" s="5">
        <v>45397</v>
      </c>
      <c r="B297" s="6" t="s">
        <v>53</v>
      </c>
      <c r="C297" s="6">
        <v>23612.44627035909</v>
      </c>
      <c r="D297" s="6">
        <v>20972.10584479539</v>
      </c>
    </row>
    <row r="298" spans="1:4">
      <c r="A298" s="5">
        <v>45397</v>
      </c>
      <c r="B298" s="6" t="s">
        <v>54</v>
      </c>
      <c r="C298" s="6">
        <v>25816.8266459441</v>
      </c>
      <c r="D298" s="6">
        <v>23141.50004834052</v>
      </c>
    </row>
    <row r="299" spans="1:4">
      <c r="A299" s="5">
        <v>45397</v>
      </c>
      <c r="B299" s="6" t="s">
        <v>55</v>
      </c>
      <c r="C299" s="6">
        <v>25842.79790136058</v>
      </c>
      <c r="D299" s="6">
        <v>23566.17374022845</v>
      </c>
    </row>
    <row r="300" spans="1:4">
      <c r="A300" s="5">
        <v>45397</v>
      </c>
      <c r="B300" s="6" t="s">
        <v>56</v>
      </c>
      <c r="C300" s="6">
        <v>29443.25503179123</v>
      </c>
      <c r="D300" s="6">
        <v>27316.21694989992</v>
      </c>
    </row>
    <row r="301" spans="1:4">
      <c r="A301" s="5">
        <v>45397</v>
      </c>
      <c r="B301" s="6" t="s">
        <v>57</v>
      </c>
      <c r="C301" s="6">
        <v>27580.35529095506</v>
      </c>
      <c r="D301" s="6">
        <v>25918.67959527892</v>
      </c>
    </row>
    <row r="302" spans="1:4">
      <c r="A302" s="5">
        <v>45397</v>
      </c>
      <c r="B302" s="6" t="s">
        <v>58</v>
      </c>
      <c r="C302" s="6">
        <v>25322.58961424561</v>
      </c>
      <c r="D302" s="6">
        <v>22441.95337587425</v>
      </c>
    </row>
    <row r="303" spans="1:4">
      <c r="A303" s="5">
        <v>45397</v>
      </c>
      <c r="B303" s="6" t="s">
        <v>59</v>
      </c>
      <c r="C303" s="6">
        <v>25801.67866333918</v>
      </c>
      <c r="D303" s="6">
        <v>24802.40835292835</v>
      </c>
    </row>
    <row r="304" spans="1:4">
      <c r="A304" s="5">
        <v>45398</v>
      </c>
      <c r="B304" s="6" t="s">
        <v>40</v>
      </c>
      <c r="C304" s="6">
        <v>23183.22047772664</v>
      </c>
      <c r="D304" s="6">
        <v>21651.7138365358</v>
      </c>
    </row>
    <row r="305" spans="1:4">
      <c r="A305" s="5">
        <v>45398</v>
      </c>
      <c r="B305" s="6" t="s">
        <v>41</v>
      </c>
      <c r="C305" s="6">
        <v>23866.5789361197</v>
      </c>
      <c r="D305" s="6">
        <v>23594.04541682525</v>
      </c>
    </row>
    <row r="306" spans="1:4">
      <c r="A306" s="5">
        <v>45398</v>
      </c>
      <c r="B306" s="6" t="s">
        <v>42</v>
      </c>
      <c r="C306" s="6">
        <v>25007.50654710707</v>
      </c>
      <c r="D306" s="6">
        <v>24088.73257716807</v>
      </c>
    </row>
    <row r="307" spans="1:4">
      <c r="A307" s="5">
        <v>45398</v>
      </c>
      <c r="B307" s="6" t="s">
        <v>43</v>
      </c>
      <c r="C307" s="6">
        <v>27533.21885918256</v>
      </c>
      <c r="D307" s="6">
        <v>24187.31550569812</v>
      </c>
    </row>
    <row r="308" spans="1:4">
      <c r="A308" s="5">
        <v>45398</v>
      </c>
      <c r="B308" s="6" t="s">
        <v>44</v>
      </c>
      <c r="C308" s="6">
        <v>27506.34173738409</v>
      </c>
      <c r="D308" s="6">
        <v>26508.58297327399</v>
      </c>
    </row>
    <row r="309" spans="1:4">
      <c r="A309" s="5">
        <v>45398</v>
      </c>
      <c r="B309" s="6" t="s">
        <v>45</v>
      </c>
      <c r="C309" s="6">
        <v>25928.8353611788</v>
      </c>
      <c r="D309" s="6">
        <v>25034.27682247598</v>
      </c>
    </row>
    <row r="310" spans="1:4">
      <c r="A310" s="5">
        <v>45398</v>
      </c>
      <c r="B310" s="6" t="s">
        <v>46</v>
      </c>
      <c r="C310" s="6">
        <v>24817.25036066808</v>
      </c>
      <c r="D310" s="6">
        <v>21799.01505354889</v>
      </c>
    </row>
    <row r="311" spans="1:4">
      <c r="A311" s="5">
        <v>45398</v>
      </c>
      <c r="B311" s="6" t="s">
        <v>47</v>
      </c>
      <c r="C311" s="6">
        <v>25518.60996213545</v>
      </c>
      <c r="D311" s="6">
        <v>25297.68811191043</v>
      </c>
    </row>
    <row r="312" spans="1:4">
      <c r="A312" s="5">
        <v>45398</v>
      </c>
      <c r="B312" s="6" t="s">
        <v>48</v>
      </c>
      <c r="C312" s="6">
        <v>24451.94996776752</v>
      </c>
      <c r="D312" s="6">
        <v>24320.68901333417</v>
      </c>
    </row>
    <row r="313" spans="1:4">
      <c r="A313" s="5">
        <v>45398</v>
      </c>
      <c r="B313" s="6" t="s">
        <v>49</v>
      </c>
      <c r="C313" s="6">
        <v>27939.3251854544</v>
      </c>
      <c r="D313" s="6">
        <v>26028.81415398237</v>
      </c>
    </row>
    <row r="314" spans="1:4">
      <c r="A314" s="5">
        <v>45398</v>
      </c>
      <c r="B314" s="6" t="s">
        <v>50</v>
      </c>
      <c r="C314" s="6">
        <v>27152.45725733908</v>
      </c>
      <c r="D314" s="6">
        <v>24844.84592220587</v>
      </c>
    </row>
    <row r="315" spans="1:4">
      <c r="A315" s="5">
        <v>45398</v>
      </c>
      <c r="B315" s="6" t="s">
        <v>51</v>
      </c>
      <c r="C315" s="6">
        <v>29843.41753860493</v>
      </c>
      <c r="D315" s="6">
        <v>28031.65414144615</v>
      </c>
    </row>
    <row r="316" spans="1:4">
      <c r="A316" s="5">
        <v>45398</v>
      </c>
      <c r="B316" s="6" t="s">
        <v>52</v>
      </c>
      <c r="C316" s="6">
        <v>23438.53849445686</v>
      </c>
      <c r="D316" s="6">
        <v>19413.60911377204</v>
      </c>
    </row>
    <row r="317" spans="1:4">
      <c r="A317" s="5">
        <v>45398</v>
      </c>
      <c r="B317" s="6" t="s">
        <v>53</v>
      </c>
      <c r="C317" s="6">
        <v>23715.48286484492</v>
      </c>
      <c r="D317" s="6">
        <v>22012.62211353655</v>
      </c>
    </row>
    <row r="318" spans="1:4">
      <c r="A318" s="5">
        <v>45398</v>
      </c>
      <c r="B318" s="6" t="s">
        <v>54</v>
      </c>
      <c r="C318" s="6">
        <v>23055.9562720652</v>
      </c>
      <c r="D318" s="6">
        <v>20053.46882309434</v>
      </c>
    </row>
    <row r="319" spans="1:4">
      <c r="A319" s="5">
        <v>45398</v>
      </c>
      <c r="B319" s="6" t="s">
        <v>55</v>
      </c>
      <c r="C319" s="6">
        <v>26188.00690997638</v>
      </c>
      <c r="D319" s="6">
        <v>23503.47495356336</v>
      </c>
    </row>
    <row r="320" spans="1:4">
      <c r="A320" s="5">
        <v>45398</v>
      </c>
      <c r="B320" s="6" t="s">
        <v>56</v>
      </c>
      <c r="C320" s="6">
        <v>28082.04651328794</v>
      </c>
      <c r="D320" s="6">
        <v>27223.85478039252</v>
      </c>
    </row>
    <row r="321" spans="1:4">
      <c r="A321" s="5">
        <v>45398</v>
      </c>
      <c r="B321" s="6" t="s">
        <v>57</v>
      </c>
      <c r="C321" s="6">
        <v>29784.62048580221</v>
      </c>
      <c r="D321" s="6">
        <v>27606.46110813861</v>
      </c>
    </row>
    <row r="322" spans="1:4">
      <c r="A322" s="5">
        <v>45398</v>
      </c>
      <c r="B322" s="6" t="s">
        <v>58</v>
      </c>
      <c r="C322" s="6">
        <v>24975.50843277647</v>
      </c>
      <c r="D322" s="6">
        <v>23009.3743397061</v>
      </c>
    </row>
    <row r="323" spans="1:4">
      <c r="A323" s="5">
        <v>45398</v>
      </c>
      <c r="B323" s="6" t="s">
        <v>59</v>
      </c>
      <c r="C323" s="6">
        <v>24970.79441759574</v>
      </c>
      <c r="D323" s="6">
        <v>23686.40982383955</v>
      </c>
    </row>
    <row r="324" spans="1:4">
      <c r="A324" s="5">
        <v>45399</v>
      </c>
      <c r="B324" s="6" t="s">
        <v>40</v>
      </c>
      <c r="C324" s="6">
        <v>23772.38870776032</v>
      </c>
      <c r="D324" s="6">
        <v>22237.7711483658</v>
      </c>
    </row>
    <row r="325" spans="1:4">
      <c r="A325" s="5">
        <v>45399</v>
      </c>
      <c r="B325" s="6" t="s">
        <v>41</v>
      </c>
      <c r="C325" s="6">
        <v>24343.17181529579</v>
      </c>
      <c r="D325" s="6">
        <v>23184.97500772595</v>
      </c>
    </row>
    <row r="326" spans="1:4">
      <c r="A326" s="5">
        <v>45399</v>
      </c>
      <c r="B326" s="6" t="s">
        <v>42</v>
      </c>
      <c r="C326" s="6">
        <v>25269.91390796144</v>
      </c>
      <c r="D326" s="6">
        <v>21512.18046791672</v>
      </c>
    </row>
    <row r="327" spans="1:4">
      <c r="A327" s="5">
        <v>45399</v>
      </c>
      <c r="B327" s="6" t="s">
        <v>43</v>
      </c>
      <c r="C327" s="6">
        <v>26449.4377342334</v>
      </c>
      <c r="D327" s="6">
        <v>24721.85012192283</v>
      </c>
    </row>
    <row r="328" spans="1:4">
      <c r="A328" s="5">
        <v>45399</v>
      </c>
      <c r="B328" s="6" t="s">
        <v>44</v>
      </c>
      <c r="C328" s="6">
        <v>27018.91857895364</v>
      </c>
      <c r="D328" s="6">
        <v>25061.08394719146</v>
      </c>
    </row>
    <row r="329" spans="1:4">
      <c r="A329" s="5">
        <v>45399</v>
      </c>
      <c r="B329" s="6" t="s">
        <v>45</v>
      </c>
      <c r="C329" s="6">
        <v>28627.72736177042</v>
      </c>
      <c r="D329" s="6">
        <v>25913.90256148382</v>
      </c>
    </row>
    <row r="330" spans="1:4">
      <c r="A330" s="5">
        <v>45399</v>
      </c>
      <c r="B330" s="6" t="s">
        <v>46</v>
      </c>
      <c r="C330" s="6">
        <v>23284.99548992981</v>
      </c>
      <c r="D330" s="6">
        <v>22189.3908758744</v>
      </c>
    </row>
    <row r="331" spans="1:4">
      <c r="A331" s="5">
        <v>45399</v>
      </c>
      <c r="B331" s="6" t="s">
        <v>47</v>
      </c>
      <c r="C331" s="6">
        <v>25620.09841146838</v>
      </c>
      <c r="D331" s="6">
        <v>22255.63707019457</v>
      </c>
    </row>
    <row r="332" spans="1:4">
      <c r="A332" s="5">
        <v>45399</v>
      </c>
      <c r="B332" s="6" t="s">
        <v>48</v>
      </c>
      <c r="C332" s="6">
        <v>24497.52136839116</v>
      </c>
      <c r="D332" s="6">
        <v>21667.21078741594</v>
      </c>
    </row>
    <row r="333" spans="1:4">
      <c r="A333" s="5">
        <v>45399</v>
      </c>
      <c r="B333" s="6" t="s">
        <v>49</v>
      </c>
      <c r="C333" s="6">
        <v>27557.53816316449</v>
      </c>
      <c r="D333" s="6">
        <v>24978.52666209633</v>
      </c>
    </row>
    <row r="334" spans="1:4">
      <c r="A334" s="5">
        <v>45399</v>
      </c>
      <c r="B334" s="6" t="s">
        <v>50</v>
      </c>
      <c r="C334" s="6">
        <v>27819.66948105696</v>
      </c>
      <c r="D334" s="6">
        <v>26080.02697207978</v>
      </c>
    </row>
    <row r="335" spans="1:4">
      <c r="A335" s="5">
        <v>45399</v>
      </c>
      <c r="B335" s="6" t="s">
        <v>51</v>
      </c>
      <c r="C335" s="6">
        <v>30365.8728470118</v>
      </c>
      <c r="D335" s="6">
        <v>26422.05371027645</v>
      </c>
    </row>
    <row r="336" spans="1:4">
      <c r="A336" s="5">
        <v>45399</v>
      </c>
      <c r="B336" s="6" t="s">
        <v>52</v>
      </c>
      <c r="C336" s="6">
        <v>25002.08049453557</v>
      </c>
      <c r="D336" s="6">
        <v>21217.12624635327</v>
      </c>
    </row>
    <row r="337" spans="1:4">
      <c r="A337" s="5">
        <v>45399</v>
      </c>
      <c r="B337" s="6" t="s">
        <v>53</v>
      </c>
      <c r="C337" s="6">
        <v>25284.73602385526</v>
      </c>
      <c r="D337" s="6">
        <v>21374.86102283444</v>
      </c>
    </row>
    <row r="338" spans="1:4">
      <c r="A338" s="5">
        <v>45399</v>
      </c>
      <c r="B338" s="6" t="s">
        <v>54</v>
      </c>
      <c r="C338" s="6">
        <v>23983.608393052</v>
      </c>
      <c r="D338" s="6">
        <v>21683.35236170595</v>
      </c>
    </row>
    <row r="339" spans="1:4">
      <c r="A339" s="5">
        <v>45399</v>
      </c>
      <c r="B339" s="6" t="s">
        <v>55</v>
      </c>
      <c r="C339" s="6">
        <v>26607.67959465132</v>
      </c>
      <c r="D339" s="6">
        <v>24655.91430159753</v>
      </c>
    </row>
    <row r="340" spans="1:4">
      <c r="A340" s="5">
        <v>45399</v>
      </c>
      <c r="B340" s="6" t="s">
        <v>56</v>
      </c>
      <c r="C340" s="6">
        <v>28790.45743455714</v>
      </c>
      <c r="D340" s="6">
        <v>27300.85357387406</v>
      </c>
    </row>
    <row r="341" spans="1:4">
      <c r="A341" s="5">
        <v>45399</v>
      </c>
      <c r="B341" s="6" t="s">
        <v>57</v>
      </c>
      <c r="C341" s="6">
        <v>29945.02352430111</v>
      </c>
      <c r="D341" s="6">
        <v>27013.82485020295</v>
      </c>
    </row>
    <row r="342" spans="1:4">
      <c r="A342" s="5">
        <v>45399</v>
      </c>
      <c r="B342" s="6" t="s">
        <v>58</v>
      </c>
      <c r="C342" s="6">
        <v>23599.70733637825</v>
      </c>
      <c r="D342" s="6">
        <v>24053.93327906823</v>
      </c>
    </row>
    <row r="343" spans="1:4">
      <c r="A343" s="5">
        <v>45399</v>
      </c>
      <c r="B343" s="6" t="s">
        <v>59</v>
      </c>
      <c r="C343" s="6">
        <v>24878.86438258857</v>
      </c>
      <c r="D343" s="6">
        <v>23749.19851476095</v>
      </c>
    </row>
    <row r="344" spans="1:4">
      <c r="A344" s="5">
        <v>45400</v>
      </c>
      <c r="B344" s="6" t="s">
        <v>40</v>
      </c>
      <c r="C344" s="6">
        <v>22858.73313182672</v>
      </c>
      <c r="D344" s="6">
        <v>20923.69632195921</v>
      </c>
    </row>
    <row r="345" spans="1:4">
      <c r="A345" s="5">
        <v>45400</v>
      </c>
      <c r="B345" s="6" t="s">
        <v>41</v>
      </c>
      <c r="C345" s="6">
        <v>25883.84706139033</v>
      </c>
      <c r="D345" s="6">
        <v>20690.49536992524</v>
      </c>
    </row>
    <row r="346" spans="1:4">
      <c r="A346" s="5">
        <v>45400</v>
      </c>
      <c r="B346" s="6" t="s">
        <v>42</v>
      </c>
      <c r="C346" s="6">
        <v>25714.67848460072</v>
      </c>
      <c r="D346" s="6">
        <v>23372.28747369909</v>
      </c>
    </row>
    <row r="347" spans="1:4">
      <c r="A347" s="5">
        <v>45400</v>
      </c>
      <c r="B347" s="6" t="s">
        <v>43</v>
      </c>
      <c r="C347" s="6">
        <v>27945.81661892309</v>
      </c>
      <c r="D347" s="6">
        <v>24631.84677146851</v>
      </c>
    </row>
    <row r="348" spans="1:4">
      <c r="A348" s="5">
        <v>45400</v>
      </c>
      <c r="B348" s="6" t="s">
        <v>44</v>
      </c>
      <c r="C348" s="6">
        <v>27882.93198353216</v>
      </c>
      <c r="D348" s="6">
        <v>24095.05532366842</v>
      </c>
    </row>
    <row r="349" spans="1:4">
      <c r="A349" s="5">
        <v>45400</v>
      </c>
      <c r="B349" s="6" t="s">
        <v>45</v>
      </c>
      <c r="C349" s="6">
        <v>27443.59916694435</v>
      </c>
      <c r="D349" s="6">
        <v>24421.75163742946</v>
      </c>
    </row>
    <row r="350" spans="1:4">
      <c r="A350" s="5">
        <v>45400</v>
      </c>
      <c r="B350" s="6" t="s">
        <v>46</v>
      </c>
      <c r="C350" s="6">
        <v>25826.69973613769</v>
      </c>
      <c r="D350" s="6">
        <v>24965.00690882064</v>
      </c>
    </row>
    <row r="351" spans="1:4">
      <c r="A351" s="5">
        <v>45400</v>
      </c>
      <c r="B351" s="6" t="s">
        <v>47</v>
      </c>
      <c r="C351" s="6">
        <v>25561.77052851865</v>
      </c>
      <c r="D351" s="6">
        <v>22176.13387635384</v>
      </c>
    </row>
    <row r="352" spans="1:4">
      <c r="A352" s="5">
        <v>45400</v>
      </c>
      <c r="B352" s="6" t="s">
        <v>48</v>
      </c>
      <c r="C352" s="6">
        <v>27121.97174351026</v>
      </c>
      <c r="D352" s="6">
        <v>26470.46917447447</v>
      </c>
    </row>
    <row r="353" spans="1:4">
      <c r="A353" s="5">
        <v>45400</v>
      </c>
      <c r="B353" s="6" t="s">
        <v>49</v>
      </c>
      <c r="C353" s="6">
        <v>25286.81913374812</v>
      </c>
      <c r="D353" s="6">
        <v>24828.75738221156</v>
      </c>
    </row>
    <row r="354" spans="1:4">
      <c r="A354" s="5">
        <v>45400</v>
      </c>
      <c r="B354" s="6" t="s">
        <v>50</v>
      </c>
      <c r="C354" s="6">
        <v>30446.12673437701</v>
      </c>
      <c r="D354" s="6">
        <v>26617.75486459385</v>
      </c>
    </row>
    <row r="355" spans="1:4">
      <c r="A355" s="5">
        <v>45400</v>
      </c>
      <c r="B355" s="6" t="s">
        <v>51</v>
      </c>
      <c r="C355" s="6">
        <v>28714.46347428146</v>
      </c>
      <c r="D355" s="6">
        <v>23497.77457008661</v>
      </c>
    </row>
    <row r="356" spans="1:4">
      <c r="A356" s="5">
        <v>45400</v>
      </c>
      <c r="B356" s="6" t="s">
        <v>52</v>
      </c>
      <c r="C356" s="6">
        <v>25705.05287386596</v>
      </c>
      <c r="D356" s="6">
        <v>24962.5651413335</v>
      </c>
    </row>
    <row r="357" spans="1:4">
      <c r="A357" s="5">
        <v>45400</v>
      </c>
      <c r="B357" s="6" t="s">
        <v>53</v>
      </c>
      <c r="C357" s="6">
        <v>25912.97793047626</v>
      </c>
      <c r="D357" s="6">
        <v>21816.43660770657</v>
      </c>
    </row>
    <row r="358" spans="1:4">
      <c r="A358" s="5">
        <v>45400</v>
      </c>
      <c r="B358" s="6" t="s">
        <v>54</v>
      </c>
      <c r="C358" s="6">
        <v>25694.77014065206</v>
      </c>
      <c r="D358" s="6">
        <v>24991.18768663246</v>
      </c>
    </row>
    <row r="359" spans="1:4">
      <c r="A359" s="5">
        <v>45400</v>
      </c>
      <c r="B359" s="6" t="s">
        <v>55</v>
      </c>
      <c r="C359" s="6">
        <v>28118.28044515815</v>
      </c>
      <c r="D359" s="6">
        <v>25289.59363734521</v>
      </c>
    </row>
    <row r="360" spans="1:4">
      <c r="A360" s="5">
        <v>45400</v>
      </c>
      <c r="B360" s="6" t="s">
        <v>56</v>
      </c>
      <c r="C360" s="6">
        <v>28938.8744044107</v>
      </c>
      <c r="D360" s="6">
        <v>27709.26058083898</v>
      </c>
    </row>
    <row r="361" spans="1:4">
      <c r="A361" s="5">
        <v>45400</v>
      </c>
      <c r="B361" s="6" t="s">
        <v>57</v>
      </c>
      <c r="C361" s="6">
        <v>28075.28495522089</v>
      </c>
      <c r="D361" s="6">
        <v>27401.49965277062</v>
      </c>
    </row>
    <row r="362" spans="1:4">
      <c r="A362" s="5">
        <v>45400</v>
      </c>
      <c r="B362" s="6" t="s">
        <v>58</v>
      </c>
      <c r="C362" s="6">
        <v>25109.50512405236</v>
      </c>
      <c r="D362" s="6">
        <v>26270.8473676711</v>
      </c>
    </row>
    <row r="363" spans="1:4">
      <c r="A363" s="5">
        <v>45400</v>
      </c>
      <c r="B363" s="6" t="s">
        <v>59</v>
      </c>
      <c r="C363" s="6">
        <v>25807.97860786728</v>
      </c>
      <c r="D363" s="6">
        <v>22953.30253497422</v>
      </c>
    </row>
    <row r="364" spans="1:4">
      <c r="A364" s="5">
        <v>45401</v>
      </c>
      <c r="B364" s="6" t="s">
        <v>40</v>
      </c>
      <c r="C364" s="6">
        <v>24083.99717741601</v>
      </c>
      <c r="D364" s="6">
        <v>21647.84534280598</v>
      </c>
    </row>
    <row r="365" spans="1:4">
      <c r="A365" s="5">
        <v>45401</v>
      </c>
      <c r="B365" s="6" t="s">
        <v>41</v>
      </c>
      <c r="C365" s="6">
        <v>25601.99936561509</v>
      </c>
      <c r="D365" s="6">
        <v>21273.1272333302</v>
      </c>
    </row>
    <row r="366" spans="1:4">
      <c r="A366" s="5">
        <v>45401</v>
      </c>
      <c r="B366" s="6" t="s">
        <v>42</v>
      </c>
      <c r="C366" s="6">
        <v>27293.78516517255</v>
      </c>
      <c r="D366" s="6">
        <v>24061.52704698126</v>
      </c>
    </row>
    <row r="367" spans="1:4">
      <c r="A367" s="5">
        <v>45401</v>
      </c>
      <c r="B367" s="6" t="s">
        <v>43</v>
      </c>
      <c r="C367" s="6">
        <v>26818.56812503369</v>
      </c>
      <c r="D367" s="6">
        <v>25660.72623864863</v>
      </c>
    </row>
    <row r="368" spans="1:4">
      <c r="A368" s="5">
        <v>45401</v>
      </c>
      <c r="B368" s="6" t="s">
        <v>44</v>
      </c>
      <c r="C368" s="6">
        <v>28198.45131369109</v>
      </c>
      <c r="D368" s="6">
        <v>26525.31808282551</v>
      </c>
    </row>
    <row r="369" spans="1:4">
      <c r="A369" s="5">
        <v>45401</v>
      </c>
      <c r="B369" s="6" t="s">
        <v>45</v>
      </c>
      <c r="C369" s="6">
        <v>27392.42012318534</v>
      </c>
      <c r="D369" s="6">
        <v>24364.75631574678</v>
      </c>
    </row>
    <row r="370" spans="1:4">
      <c r="A370" s="5">
        <v>45401</v>
      </c>
      <c r="B370" s="6" t="s">
        <v>46</v>
      </c>
      <c r="C370" s="6">
        <v>25330.75825127539</v>
      </c>
      <c r="D370" s="6">
        <v>22919.03611909863</v>
      </c>
    </row>
    <row r="371" spans="1:4">
      <c r="A371" s="5">
        <v>45401</v>
      </c>
      <c r="B371" s="6" t="s">
        <v>47</v>
      </c>
      <c r="C371" s="6">
        <v>24432.88451704531</v>
      </c>
      <c r="D371" s="6">
        <v>23171.26232006326</v>
      </c>
    </row>
    <row r="372" spans="1:4">
      <c r="A372" s="5">
        <v>45401</v>
      </c>
      <c r="B372" s="6" t="s">
        <v>48</v>
      </c>
      <c r="C372" s="6">
        <v>26892.06129266669</v>
      </c>
      <c r="D372" s="6">
        <v>25083.66870921176</v>
      </c>
    </row>
    <row r="373" spans="1:4">
      <c r="A373" s="5">
        <v>45401</v>
      </c>
      <c r="B373" s="6" t="s">
        <v>49</v>
      </c>
      <c r="C373" s="6">
        <v>26316.01904046412</v>
      </c>
      <c r="D373" s="6">
        <v>22874.34146378195</v>
      </c>
    </row>
    <row r="374" spans="1:4">
      <c r="A374" s="5">
        <v>45401</v>
      </c>
      <c r="B374" s="6" t="s">
        <v>50</v>
      </c>
      <c r="C374" s="6">
        <v>28729.40536696393</v>
      </c>
      <c r="D374" s="6">
        <v>25532.16401079217</v>
      </c>
    </row>
    <row r="375" spans="1:4">
      <c r="A375" s="5">
        <v>45401</v>
      </c>
      <c r="B375" s="6" t="s">
        <v>51</v>
      </c>
      <c r="C375" s="6">
        <v>27014.86558864794</v>
      </c>
      <c r="D375" s="6">
        <v>24433.80038604477</v>
      </c>
    </row>
    <row r="376" spans="1:4">
      <c r="A376" s="5">
        <v>45401</v>
      </c>
      <c r="B376" s="6" t="s">
        <v>52</v>
      </c>
      <c r="C376" s="6">
        <v>24547.77434964776</v>
      </c>
      <c r="D376" s="6">
        <v>20963.5056197792</v>
      </c>
    </row>
    <row r="377" spans="1:4">
      <c r="A377" s="5">
        <v>45401</v>
      </c>
      <c r="B377" s="6" t="s">
        <v>53</v>
      </c>
      <c r="C377" s="6">
        <v>26758.54242461044</v>
      </c>
      <c r="D377" s="6">
        <v>24176.41449792277</v>
      </c>
    </row>
    <row r="378" spans="1:4">
      <c r="A378" s="5">
        <v>45401</v>
      </c>
      <c r="B378" s="6" t="s">
        <v>54</v>
      </c>
      <c r="C378" s="6">
        <v>25999.8736498809</v>
      </c>
      <c r="D378" s="6">
        <v>23493.36926981383</v>
      </c>
    </row>
    <row r="379" spans="1:4">
      <c r="A379" s="5">
        <v>45401</v>
      </c>
      <c r="B379" s="6" t="s">
        <v>55</v>
      </c>
      <c r="C379" s="6">
        <v>28011.4853822696</v>
      </c>
      <c r="D379" s="6">
        <v>25863.28234996575</v>
      </c>
    </row>
    <row r="380" spans="1:4">
      <c r="A380" s="5">
        <v>45401</v>
      </c>
      <c r="B380" s="6" t="s">
        <v>56</v>
      </c>
      <c r="C380" s="6">
        <v>26223.62726937374</v>
      </c>
      <c r="D380" s="6">
        <v>24993.72526316433</v>
      </c>
    </row>
    <row r="381" spans="1:4">
      <c r="A381" s="5">
        <v>45401</v>
      </c>
      <c r="B381" s="6" t="s">
        <v>57</v>
      </c>
      <c r="C381" s="6">
        <v>26473.039903155</v>
      </c>
      <c r="D381" s="6">
        <v>25110.97413999414</v>
      </c>
    </row>
    <row r="382" spans="1:4">
      <c r="A382" s="5">
        <v>45401</v>
      </c>
      <c r="B382" s="6" t="s">
        <v>58</v>
      </c>
      <c r="C382" s="6">
        <v>23681.84561749976</v>
      </c>
      <c r="D382" s="6">
        <v>21199.89084079463</v>
      </c>
    </row>
    <row r="383" spans="1:4">
      <c r="A383" s="5">
        <v>45401</v>
      </c>
      <c r="B383" s="6" t="s">
        <v>59</v>
      </c>
      <c r="C383" s="6">
        <v>25258.17983258381</v>
      </c>
      <c r="D383" s="6">
        <v>22463.06998585815</v>
      </c>
    </row>
    <row r="384" spans="1:4">
      <c r="A384" s="5">
        <v>45402</v>
      </c>
      <c r="B384" s="6" t="s">
        <v>40</v>
      </c>
      <c r="C384" s="6">
        <v>24605.804421848</v>
      </c>
      <c r="D384" s="6">
        <v>22732.98397878157</v>
      </c>
    </row>
    <row r="385" spans="1:4">
      <c r="A385" s="5">
        <v>45402</v>
      </c>
      <c r="B385" s="6" t="s">
        <v>41</v>
      </c>
      <c r="C385" s="6">
        <v>26236.36269093954</v>
      </c>
      <c r="D385" s="6">
        <v>24169.85709785277</v>
      </c>
    </row>
    <row r="386" spans="1:4">
      <c r="A386" s="5">
        <v>45402</v>
      </c>
      <c r="B386" s="6" t="s">
        <v>42</v>
      </c>
      <c r="C386" s="6">
        <v>27910.78681814616</v>
      </c>
      <c r="D386" s="6">
        <v>25819.3481659315</v>
      </c>
    </row>
    <row r="387" spans="1:4">
      <c r="A387" s="5">
        <v>45402</v>
      </c>
      <c r="B387" s="6" t="s">
        <v>43</v>
      </c>
      <c r="C387" s="6">
        <v>26737.52799406914</v>
      </c>
      <c r="D387" s="6">
        <v>24228.74254768755</v>
      </c>
    </row>
    <row r="388" spans="1:4">
      <c r="A388" s="5">
        <v>45402</v>
      </c>
      <c r="B388" s="6" t="s">
        <v>44</v>
      </c>
      <c r="C388" s="6">
        <v>31652.4550426077</v>
      </c>
      <c r="D388" s="6">
        <v>28334.66487204626</v>
      </c>
    </row>
    <row r="389" spans="1:4">
      <c r="A389" s="5">
        <v>45402</v>
      </c>
      <c r="B389" s="6" t="s">
        <v>45</v>
      </c>
      <c r="C389" s="6">
        <v>27726.48328407884</v>
      </c>
      <c r="D389" s="6">
        <v>25844.48777532511</v>
      </c>
    </row>
    <row r="390" spans="1:4">
      <c r="A390" s="5">
        <v>45402</v>
      </c>
      <c r="B390" s="6" t="s">
        <v>46</v>
      </c>
      <c r="C390" s="6">
        <v>24598.46995786452</v>
      </c>
      <c r="D390" s="6">
        <v>22134.72294535305</v>
      </c>
    </row>
    <row r="391" spans="1:4">
      <c r="A391" s="5">
        <v>45402</v>
      </c>
      <c r="B391" s="6" t="s">
        <v>47</v>
      </c>
      <c r="C391" s="6">
        <v>27485.40947552011</v>
      </c>
      <c r="D391" s="6">
        <v>25667.73591680033</v>
      </c>
    </row>
    <row r="392" spans="1:4">
      <c r="A392" s="5">
        <v>45402</v>
      </c>
      <c r="B392" s="6" t="s">
        <v>48</v>
      </c>
      <c r="C392" s="6">
        <v>23882.13710439565</v>
      </c>
      <c r="D392" s="6">
        <v>21256.52578554333</v>
      </c>
    </row>
    <row r="393" spans="1:4">
      <c r="A393" s="5">
        <v>45402</v>
      </c>
      <c r="B393" s="6" t="s">
        <v>49</v>
      </c>
      <c r="C393" s="6">
        <v>26575.23237851159</v>
      </c>
      <c r="D393" s="6">
        <v>22179.92734331442</v>
      </c>
    </row>
    <row r="394" spans="1:4">
      <c r="A394" s="5">
        <v>45402</v>
      </c>
      <c r="B394" s="6" t="s">
        <v>50</v>
      </c>
      <c r="C394" s="6">
        <v>27334.51512262381</v>
      </c>
      <c r="D394" s="6">
        <v>23237.11069209392</v>
      </c>
    </row>
    <row r="395" spans="1:4">
      <c r="A395" s="5">
        <v>45402</v>
      </c>
      <c r="B395" s="6" t="s">
        <v>51</v>
      </c>
      <c r="C395" s="6">
        <v>28912.70454094977</v>
      </c>
      <c r="D395" s="6">
        <v>28242.94415442547</v>
      </c>
    </row>
    <row r="396" spans="1:4">
      <c r="A396" s="5">
        <v>45402</v>
      </c>
      <c r="B396" s="6" t="s">
        <v>52</v>
      </c>
      <c r="C396" s="6">
        <v>25019.86548781048</v>
      </c>
      <c r="D396" s="6">
        <v>24422.66138449948</v>
      </c>
    </row>
    <row r="397" spans="1:4">
      <c r="A397" s="5">
        <v>45402</v>
      </c>
      <c r="B397" s="6" t="s">
        <v>53</v>
      </c>
      <c r="C397" s="6">
        <v>24815.63377072456</v>
      </c>
      <c r="D397" s="6">
        <v>21954.41727979768</v>
      </c>
    </row>
    <row r="398" spans="1:4">
      <c r="A398" s="5">
        <v>45402</v>
      </c>
      <c r="B398" s="6" t="s">
        <v>54</v>
      </c>
      <c r="C398" s="6">
        <v>27543.44812217322</v>
      </c>
      <c r="D398" s="6">
        <v>26295.45403629536</v>
      </c>
    </row>
    <row r="399" spans="1:4">
      <c r="A399" s="5">
        <v>45402</v>
      </c>
      <c r="B399" s="6" t="s">
        <v>55</v>
      </c>
      <c r="C399" s="6">
        <v>26039.20267808464</v>
      </c>
      <c r="D399" s="6">
        <v>24478.76438643721</v>
      </c>
    </row>
    <row r="400" spans="1:4">
      <c r="A400" s="5">
        <v>45402</v>
      </c>
      <c r="B400" s="6" t="s">
        <v>56</v>
      </c>
      <c r="C400" s="6">
        <v>28748.52966101076</v>
      </c>
      <c r="D400" s="6">
        <v>27750.42777349372</v>
      </c>
    </row>
    <row r="401" spans="1:4">
      <c r="A401" s="5">
        <v>45402</v>
      </c>
      <c r="B401" s="6" t="s">
        <v>57</v>
      </c>
      <c r="C401" s="6">
        <v>28723.41388567385</v>
      </c>
      <c r="D401" s="6">
        <v>25922.32581680625</v>
      </c>
    </row>
    <row r="402" spans="1:4">
      <c r="A402" s="5">
        <v>45402</v>
      </c>
      <c r="B402" s="6" t="s">
        <v>58</v>
      </c>
      <c r="C402" s="6">
        <v>22434.30672504356</v>
      </c>
      <c r="D402" s="6">
        <v>20481.10751736228</v>
      </c>
    </row>
    <row r="403" spans="1:4">
      <c r="A403" s="5">
        <v>45402</v>
      </c>
      <c r="B403" s="6" t="s">
        <v>59</v>
      </c>
      <c r="C403" s="6">
        <v>25102.13010973841</v>
      </c>
      <c r="D403" s="6">
        <v>22553.16823745919</v>
      </c>
    </row>
    <row r="404" spans="1:4">
      <c r="A404" s="5">
        <v>45403</v>
      </c>
      <c r="B404" s="6" t="s">
        <v>40</v>
      </c>
      <c r="C404" s="6">
        <v>23890.27985634494</v>
      </c>
      <c r="D404" s="6">
        <v>21783.52249969522</v>
      </c>
    </row>
    <row r="405" spans="1:4">
      <c r="A405" s="5">
        <v>45403</v>
      </c>
      <c r="B405" s="6" t="s">
        <v>41</v>
      </c>
      <c r="C405" s="6">
        <v>24985.28929462579</v>
      </c>
      <c r="D405" s="6">
        <v>22526.24601218245</v>
      </c>
    </row>
    <row r="406" spans="1:4">
      <c r="A406" s="5">
        <v>45403</v>
      </c>
      <c r="B406" s="6" t="s">
        <v>42</v>
      </c>
      <c r="C406" s="6">
        <v>27563.54208931094</v>
      </c>
      <c r="D406" s="6">
        <v>24063.9052920835</v>
      </c>
    </row>
    <row r="407" spans="1:4">
      <c r="A407" s="5">
        <v>45403</v>
      </c>
      <c r="B407" s="6" t="s">
        <v>43</v>
      </c>
      <c r="C407" s="6">
        <v>26372.14916211026</v>
      </c>
      <c r="D407" s="6">
        <v>24041.74346026328</v>
      </c>
    </row>
    <row r="408" spans="1:4">
      <c r="A408" s="5">
        <v>45403</v>
      </c>
      <c r="B408" s="6" t="s">
        <v>44</v>
      </c>
      <c r="C408" s="6">
        <v>29514.76090719632</v>
      </c>
      <c r="D408" s="6">
        <v>27887.39612618785</v>
      </c>
    </row>
    <row r="409" spans="1:4">
      <c r="A409" s="5">
        <v>45403</v>
      </c>
      <c r="B409" s="6" t="s">
        <v>45</v>
      </c>
      <c r="C409" s="6">
        <v>26808.39893474702</v>
      </c>
      <c r="D409" s="6">
        <v>24638.43814831003</v>
      </c>
    </row>
    <row r="410" spans="1:4">
      <c r="A410" s="5">
        <v>45403</v>
      </c>
      <c r="B410" s="6" t="s">
        <v>46</v>
      </c>
      <c r="C410" s="6">
        <v>23194.51818433143</v>
      </c>
      <c r="D410" s="6">
        <v>22159.41990938777</v>
      </c>
    </row>
    <row r="411" spans="1:4">
      <c r="A411" s="5">
        <v>45403</v>
      </c>
      <c r="B411" s="6" t="s">
        <v>47</v>
      </c>
      <c r="C411" s="6">
        <v>23457.21942629906</v>
      </c>
      <c r="D411" s="6">
        <v>20260.41621891105</v>
      </c>
    </row>
    <row r="412" spans="1:4">
      <c r="A412" s="5">
        <v>45403</v>
      </c>
      <c r="B412" s="6" t="s">
        <v>48</v>
      </c>
      <c r="C412" s="6">
        <v>25714.59779557897</v>
      </c>
      <c r="D412" s="6">
        <v>25275.18578987456</v>
      </c>
    </row>
    <row r="413" spans="1:4">
      <c r="A413" s="5">
        <v>45403</v>
      </c>
      <c r="B413" s="6" t="s">
        <v>49</v>
      </c>
      <c r="C413" s="6">
        <v>26607.27527880497</v>
      </c>
      <c r="D413" s="6">
        <v>25630.99175562448</v>
      </c>
    </row>
    <row r="414" spans="1:4">
      <c r="A414" s="5">
        <v>45403</v>
      </c>
      <c r="B414" s="6" t="s">
        <v>50</v>
      </c>
      <c r="C414" s="6">
        <v>29245.07321914272</v>
      </c>
      <c r="D414" s="6">
        <v>26756.83032738791</v>
      </c>
    </row>
    <row r="415" spans="1:4">
      <c r="A415" s="5">
        <v>45403</v>
      </c>
      <c r="B415" s="6" t="s">
        <v>51</v>
      </c>
      <c r="C415" s="6">
        <v>28620.38268118344</v>
      </c>
      <c r="D415" s="6">
        <v>26455.39301837767</v>
      </c>
    </row>
    <row r="416" spans="1:4">
      <c r="A416" s="5">
        <v>45403</v>
      </c>
      <c r="B416" s="6" t="s">
        <v>52</v>
      </c>
      <c r="C416" s="6">
        <v>24810.1930999828</v>
      </c>
      <c r="D416" s="6">
        <v>23933.38146915254</v>
      </c>
    </row>
    <row r="417" spans="1:4">
      <c r="A417" s="5">
        <v>45403</v>
      </c>
      <c r="B417" s="6" t="s">
        <v>53</v>
      </c>
      <c r="C417" s="6">
        <v>26950.85053291616</v>
      </c>
      <c r="D417" s="6">
        <v>24860.33820597061</v>
      </c>
    </row>
    <row r="418" spans="1:4">
      <c r="A418" s="5">
        <v>45403</v>
      </c>
      <c r="B418" s="6" t="s">
        <v>54</v>
      </c>
      <c r="C418" s="6">
        <v>25420.91815688814</v>
      </c>
      <c r="D418" s="6">
        <v>24362.2853114545</v>
      </c>
    </row>
    <row r="419" spans="1:4">
      <c r="A419" s="5">
        <v>45403</v>
      </c>
      <c r="B419" s="6" t="s">
        <v>55</v>
      </c>
      <c r="C419" s="6">
        <v>24959.44288711653</v>
      </c>
      <c r="D419" s="6">
        <v>22878.81914893056</v>
      </c>
    </row>
    <row r="420" spans="1:4">
      <c r="A420" s="5">
        <v>45403</v>
      </c>
      <c r="B420" s="6" t="s">
        <v>56</v>
      </c>
      <c r="C420" s="6">
        <v>27970.67944534195</v>
      </c>
      <c r="D420" s="6">
        <v>23466.73691592876</v>
      </c>
    </row>
    <row r="421" spans="1:4">
      <c r="A421" s="5">
        <v>45403</v>
      </c>
      <c r="B421" s="6" t="s">
        <v>57</v>
      </c>
      <c r="C421" s="6">
        <v>27830.71110426405</v>
      </c>
      <c r="D421" s="6">
        <v>24832.26626899536</v>
      </c>
    </row>
    <row r="422" spans="1:4">
      <c r="A422" s="5">
        <v>45403</v>
      </c>
      <c r="B422" s="6" t="s">
        <v>58</v>
      </c>
      <c r="C422" s="6">
        <v>23752.85903229659</v>
      </c>
      <c r="D422" s="6">
        <v>19580.24839893698</v>
      </c>
    </row>
    <row r="423" spans="1:4">
      <c r="A423" s="5">
        <v>45403</v>
      </c>
      <c r="B423" s="6" t="s">
        <v>59</v>
      </c>
      <c r="C423" s="6">
        <v>25091.84321147529</v>
      </c>
      <c r="D423" s="6">
        <v>22101.87213662433</v>
      </c>
    </row>
    <row r="424" spans="1:4">
      <c r="A424" s="5">
        <v>45404</v>
      </c>
      <c r="B424" s="6" t="s">
        <v>40</v>
      </c>
      <c r="C424" s="6">
        <v>23199.67836508833</v>
      </c>
      <c r="D424" s="6">
        <v>22001.62304415676</v>
      </c>
    </row>
    <row r="425" spans="1:4">
      <c r="A425" s="5">
        <v>45404</v>
      </c>
      <c r="B425" s="6" t="s">
        <v>41</v>
      </c>
      <c r="C425" s="6">
        <v>25559.34838214273</v>
      </c>
      <c r="D425" s="6">
        <v>22109.78700884405</v>
      </c>
    </row>
    <row r="426" spans="1:4">
      <c r="A426" s="5">
        <v>45404</v>
      </c>
      <c r="B426" s="6" t="s">
        <v>42</v>
      </c>
      <c r="C426" s="6">
        <v>26928.47779242538</v>
      </c>
      <c r="D426" s="6">
        <v>24419.4306087569</v>
      </c>
    </row>
    <row r="427" spans="1:4">
      <c r="A427" s="5">
        <v>45404</v>
      </c>
      <c r="B427" s="6" t="s">
        <v>43</v>
      </c>
      <c r="C427" s="6">
        <v>27698.41866494649</v>
      </c>
      <c r="D427" s="6">
        <v>25379.8094216281</v>
      </c>
    </row>
    <row r="428" spans="1:4">
      <c r="A428" s="5">
        <v>45404</v>
      </c>
      <c r="B428" s="6" t="s">
        <v>44</v>
      </c>
      <c r="C428" s="6">
        <v>27058.18627679735</v>
      </c>
      <c r="D428" s="6">
        <v>28411.09559063722</v>
      </c>
    </row>
    <row r="429" spans="1:4">
      <c r="A429" s="5">
        <v>45404</v>
      </c>
      <c r="B429" s="6" t="s">
        <v>45</v>
      </c>
      <c r="C429" s="6">
        <v>29016.41681163</v>
      </c>
      <c r="D429" s="6">
        <v>29374.36290026054</v>
      </c>
    </row>
    <row r="430" spans="1:4">
      <c r="A430" s="5">
        <v>45404</v>
      </c>
      <c r="B430" s="6" t="s">
        <v>46</v>
      </c>
      <c r="C430" s="6">
        <v>26100.68761600911</v>
      </c>
      <c r="D430" s="6">
        <v>22477.75147508839</v>
      </c>
    </row>
    <row r="431" spans="1:4">
      <c r="A431" s="5">
        <v>45404</v>
      </c>
      <c r="B431" s="6" t="s">
        <v>47</v>
      </c>
      <c r="C431" s="6">
        <v>27735.38924316108</v>
      </c>
      <c r="D431" s="6">
        <v>25658.65641427372</v>
      </c>
    </row>
    <row r="432" spans="1:4">
      <c r="A432" s="5">
        <v>45404</v>
      </c>
      <c r="B432" s="6" t="s">
        <v>48</v>
      </c>
      <c r="C432" s="6">
        <v>26642.89005738534</v>
      </c>
      <c r="D432" s="6">
        <v>22482.29639814854</v>
      </c>
    </row>
    <row r="433" spans="1:4">
      <c r="A433" s="5">
        <v>45404</v>
      </c>
      <c r="B433" s="6" t="s">
        <v>49</v>
      </c>
      <c r="C433" s="6">
        <v>27589.68430811171</v>
      </c>
      <c r="D433" s="6">
        <v>24298.73393166136</v>
      </c>
    </row>
    <row r="434" spans="1:4">
      <c r="A434" s="5">
        <v>45404</v>
      </c>
      <c r="B434" s="6" t="s">
        <v>50</v>
      </c>
      <c r="C434" s="6">
        <v>27375.17483595125</v>
      </c>
      <c r="D434" s="6">
        <v>24216.6798309324</v>
      </c>
    </row>
    <row r="435" spans="1:4">
      <c r="A435" s="5">
        <v>45404</v>
      </c>
      <c r="B435" s="6" t="s">
        <v>51</v>
      </c>
      <c r="C435" s="6">
        <v>30861.0462009346</v>
      </c>
      <c r="D435" s="6">
        <v>29304.87870869931</v>
      </c>
    </row>
    <row r="436" spans="1:4">
      <c r="A436" s="5">
        <v>45404</v>
      </c>
      <c r="B436" s="6" t="s">
        <v>52</v>
      </c>
      <c r="C436" s="6">
        <v>23551.85022738816</v>
      </c>
      <c r="D436" s="6">
        <v>21844.88862350968</v>
      </c>
    </row>
    <row r="437" spans="1:4">
      <c r="A437" s="5">
        <v>45404</v>
      </c>
      <c r="B437" s="6" t="s">
        <v>53</v>
      </c>
      <c r="C437" s="6">
        <v>26753.45831641461</v>
      </c>
      <c r="D437" s="6">
        <v>24539.47321758846</v>
      </c>
    </row>
    <row r="438" spans="1:4">
      <c r="A438" s="5">
        <v>45404</v>
      </c>
      <c r="B438" s="6" t="s">
        <v>54</v>
      </c>
      <c r="C438" s="6">
        <v>25870.54682640841</v>
      </c>
      <c r="D438" s="6">
        <v>24916.68996434382</v>
      </c>
    </row>
    <row r="439" spans="1:4">
      <c r="A439" s="5">
        <v>45404</v>
      </c>
      <c r="B439" s="6" t="s">
        <v>55</v>
      </c>
      <c r="C439" s="6">
        <v>27405.35586159012</v>
      </c>
      <c r="D439" s="6">
        <v>25571.11000241728</v>
      </c>
    </row>
    <row r="440" spans="1:4">
      <c r="A440" s="5">
        <v>45404</v>
      </c>
      <c r="B440" s="6" t="s">
        <v>56</v>
      </c>
      <c r="C440" s="6">
        <v>28922.6975596894</v>
      </c>
      <c r="D440" s="6">
        <v>27263.79250578311</v>
      </c>
    </row>
    <row r="441" spans="1:4">
      <c r="A441" s="5">
        <v>45404</v>
      </c>
      <c r="B441" s="6" t="s">
        <v>57</v>
      </c>
      <c r="C441" s="6">
        <v>28908.25706421656</v>
      </c>
      <c r="D441" s="6">
        <v>25017.97991512503</v>
      </c>
    </row>
    <row r="442" spans="1:4">
      <c r="A442" s="5">
        <v>45404</v>
      </c>
      <c r="B442" s="6" t="s">
        <v>58</v>
      </c>
      <c r="C442" s="6">
        <v>24516.4031279493</v>
      </c>
      <c r="D442" s="6">
        <v>22224.7245416673</v>
      </c>
    </row>
    <row r="443" spans="1:4">
      <c r="A443" s="5">
        <v>45404</v>
      </c>
      <c r="B443" s="6" t="s">
        <v>59</v>
      </c>
      <c r="C443" s="6">
        <v>26793.43518705607</v>
      </c>
      <c r="D443" s="6">
        <v>25406.05311986335</v>
      </c>
    </row>
    <row r="444" spans="1:4">
      <c r="A444" s="5">
        <v>45405</v>
      </c>
      <c r="B444" s="6" t="s">
        <v>40</v>
      </c>
      <c r="C444" s="6">
        <v>24314.82375369065</v>
      </c>
      <c r="D444" s="6">
        <v>21397.77311172793</v>
      </c>
    </row>
    <row r="445" spans="1:4">
      <c r="A445" s="5">
        <v>45405</v>
      </c>
      <c r="B445" s="6" t="s">
        <v>41</v>
      </c>
      <c r="C445" s="6">
        <v>25016.24030388396</v>
      </c>
      <c r="D445" s="6">
        <v>23195.63454881885</v>
      </c>
    </row>
    <row r="446" spans="1:4">
      <c r="A446" s="5">
        <v>45405</v>
      </c>
      <c r="B446" s="6" t="s">
        <v>42</v>
      </c>
      <c r="C446" s="6">
        <v>24461.66583709873</v>
      </c>
      <c r="D446" s="6">
        <v>23290.39575083302</v>
      </c>
    </row>
    <row r="447" spans="1:4">
      <c r="A447" s="5">
        <v>45405</v>
      </c>
      <c r="B447" s="6" t="s">
        <v>43</v>
      </c>
      <c r="C447" s="6">
        <v>25688.19144971852</v>
      </c>
      <c r="D447" s="6">
        <v>25496.90130132419</v>
      </c>
    </row>
    <row r="448" spans="1:4">
      <c r="A448" s="5">
        <v>45405</v>
      </c>
      <c r="B448" s="6" t="s">
        <v>44</v>
      </c>
      <c r="C448" s="6">
        <v>28413.62725043628</v>
      </c>
      <c r="D448" s="6">
        <v>26842.26474944022</v>
      </c>
    </row>
    <row r="449" spans="1:4">
      <c r="A449" s="5">
        <v>45405</v>
      </c>
      <c r="B449" s="6" t="s">
        <v>45</v>
      </c>
      <c r="C449" s="6">
        <v>27376.19335258121</v>
      </c>
      <c r="D449" s="6">
        <v>24463.14254333358</v>
      </c>
    </row>
    <row r="450" spans="1:4">
      <c r="A450" s="5">
        <v>45405</v>
      </c>
      <c r="B450" s="6" t="s">
        <v>46</v>
      </c>
      <c r="C450" s="6">
        <v>25547.1032549711</v>
      </c>
      <c r="D450" s="6">
        <v>24407.94561295232</v>
      </c>
    </row>
    <row r="451" spans="1:4">
      <c r="A451" s="5">
        <v>45405</v>
      </c>
      <c r="B451" s="6" t="s">
        <v>47</v>
      </c>
      <c r="C451" s="6">
        <v>25721.06968510915</v>
      </c>
      <c r="D451" s="6">
        <v>23127.22469776928</v>
      </c>
    </row>
    <row r="452" spans="1:4">
      <c r="A452" s="5">
        <v>45405</v>
      </c>
      <c r="B452" s="6" t="s">
        <v>48</v>
      </c>
      <c r="C452" s="6">
        <v>26465.68192832519</v>
      </c>
      <c r="D452" s="6">
        <v>24079.58023247562</v>
      </c>
    </row>
    <row r="453" spans="1:4">
      <c r="A453" s="5">
        <v>45405</v>
      </c>
      <c r="B453" s="6" t="s">
        <v>49</v>
      </c>
      <c r="C453" s="6">
        <v>26958.88074484649</v>
      </c>
      <c r="D453" s="6">
        <v>25745.49290341725</v>
      </c>
    </row>
    <row r="454" spans="1:4">
      <c r="A454" s="5">
        <v>45405</v>
      </c>
      <c r="B454" s="6" t="s">
        <v>50</v>
      </c>
      <c r="C454" s="6">
        <v>28252.81825532454</v>
      </c>
      <c r="D454" s="6">
        <v>25801.88800187577</v>
      </c>
    </row>
    <row r="455" spans="1:4">
      <c r="A455" s="5">
        <v>45405</v>
      </c>
      <c r="B455" s="6" t="s">
        <v>51</v>
      </c>
      <c r="C455" s="6">
        <v>29955.85257655081</v>
      </c>
      <c r="D455" s="6">
        <v>26898.72011392425</v>
      </c>
    </row>
    <row r="456" spans="1:4">
      <c r="A456" s="5">
        <v>45405</v>
      </c>
      <c r="B456" s="6" t="s">
        <v>52</v>
      </c>
      <c r="C456" s="6">
        <v>24287.63001554558</v>
      </c>
      <c r="D456" s="6">
        <v>21359.47152064298</v>
      </c>
    </row>
    <row r="457" spans="1:4">
      <c r="A457" s="5">
        <v>45405</v>
      </c>
      <c r="B457" s="6" t="s">
        <v>53</v>
      </c>
      <c r="C457" s="6">
        <v>26777.02915677329</v>
      </c>
      <c r="D457" s="6">
        <v>24543.24790291146</v>
      </c>
    </row>
    <row r="458" spans="1:4">
      <c r="A458" s="5">
        <v>45405</v>
      </c>
      <c r="B458" s="6" t="s">
        <v>54</v>
      </c>
      <c r="C458" s="6">
        <v>26668.11871173438</v>
      </c>
      <c r="D458" s="6">
        <v>25096.36726356905</v>
      </c>
    </row>
    <row r="459" spans="1:4">
      <c r="A459" s="5">
        <v>45405</v>
      </c>
      <c r="B459" s="6" t="s">
        <v>55</v>
      </c>
      <c r="C459" s="6">
        <v>24605.3659052868</v>
      </c>
      <c r="D459" s="6">
        <v>22734.48854742385</v>
      </c>
    </row>
    <row r="460" spans="1:4">
      <c r="A460" s="5">
        <v>45405</v>
      </c>
      <c r="B460" s="6" t="s">
        <v>56</v>
      </c>
      <c r="C460" s="6">
        <v>27894.47508816463</v>
      </c>
      <c r="D460" s="6">
        <v>24732.75681036105</v>
      </c>
    </row>
    <row r="461" spans="1:4">
      <c r="A461" s="5">
        <v>45405</v>
      </c>
      <c r="B461" s="6" t="s">
        <v>57</v>
      </c>
      <c r="C461" s="6">
        <v>29015.75720366637</v>
      </c>
      <c r="D461" s="6">
        <v>25036.96848392731</v>
      </c>
    </row>
    <row r="462" spans="1:4">
      <c r="A462" s="5">
        <v>45405</v>
      </c>
      <c r="B462" s="6" t="s">
        <v>58</v>
      </c>
      <c r="C462" s="6">
        <v>25668.23075434505</v>
      </c>
      <c r="D462" s="6">
        <v>22843.4915176519</v>
      </c>
    </row>
    <row r="463" spans="1:4">
      <c r="A463" s="5">
        <v>45405</v>
      </c>
      <c r="B463" s="6" t="s">
        <v>59</v>
      </c>
      <c r="C463" s="6">
        <v>26249.04937333979</v>
      </c>
      <c r="D463" s="6">
        <v>23719.34718813413</v>
      </c>
    </row>
    <row r="464" spans="1:4">
      <c r="A464" s="5">
        <v>45406</v>
      </c>
      <c r="B464" s="6" t="s">
        <v>40</v>
      </c>
      <c r="C464" s="6">
        <v>24216.03904234432</v>
      </c>
      <c r="D464" s="6">
        <v>23589.04231519987</v>
      </c>
    </row>
    <row r="465" spans="1:4">
      <c r="A465" s="5">
        <v>45406</v>
      </c>
      <c r="B465" s="6" t="s">
        <v>41</v>
      </c>
      <c r="C465" s="6">
        <v>27425.68014404314</v>
      </c>
      <c r="D465" s="6">
        <v>25543.59427275251</v>
      </c>
    </row>
    <row r="466" spans="1:4">
      <c r="A466" s="5">
        <v>45406</v>
      </c>
      <c r="B466" s="6" t="s">
        <v>42</v>
      </c>
      <c r="C466" s="6">
        <v>26677.47766000477</v>
      </c>
      <c r="D466" s="6">
        <v>24656.67252105048</v>
      </c>
    </row>
    <row r="467" spans="1:4">
      <c r="A467" s="5">
        <v>45406</v>
      </c>
      <c r="B467" s="6" t="s">
        <v>43</v>
      </c>
      <c r="C467" s="6">
        <v>27414.10998378082</v>
      </c>
      <c r="D467" s="6">
        <v>26929.39281254303</v>
      </c>
    </row>
    <row r="468" spans="1:4">
      <c r="A468" s="5">
        <v>45406</v>
      </c>
      <c r="B468" s="6" t="s">
        <v>44</v>
      </c>
      <c r="C468" s="6">
        <v>29829.46803775734</v>
      </c>
      <c r="D468" s="6">
        <v>26595.00034892764</v>
      </c>
    </row>
    <row r="469" spans="1:4">
      <c r="A469" s="5">
        <v>45406</v>
      </c>
      <c r="B469" s="6" t="s">
        <v>45</v>
      </c>
      <c r="C469" s="6">
        <v>29301.15384430615</v>
      </c>
      <c r="D469" s="6">
        <v>28650.87469125814</v>
      </c>
    </row>
    <row r="470" spans="1:4">
      <c r="A470" s="5">
        <v>45406</v>
      </c>
      <c r="B470" s="6" t="s">
        <v>46</v>
      </c>
      <c r="C470" s="6">
        <v>25480.13600267395</v>
      </c>
      <c r="D470" s="6">
        <v>22331.66157211527</v>
      </c>
    </row>
    <row r="471" spans="1:4">
      <c r="A471" s="5">
        <v>45406</v>
      </c>
      <c r="B471" s="6" t="s">
        <v>47</v>
      </c>
      <c r="C471" s="6">
        <v>23835.68191396925</v>
      </c>
      <c r="D471" s="6">
        <v>21503.19009053762</v>
      </c>
    </row>
    <row r="472" spans="1:4">
      <c r="A472" s="5">
        <v>45406</v>
      </c>
      <c r="B472" s="6" t="s">
        <v>48</v>
      </c>
      <c r="C472" s="6">
        <v>26998.40863653599</v>
      </c>
      <c r="D472" s="6">
        <v>24753.29061640829</v>
      </c>
    </row>
    <row r="473" spans="1:4">
      <c r="A473" s="5">
        <v>45406</v>
      </c>
      <c r="B473" s="6" t="s">
        <v>49</v>
      </c>
      <c r="C473" s="6">
        <v>29071.80488044323</v>
      </c>
      <c r="D473" s="6">
        <v>26119.13349598299</v>
      </c>
    </row>
    <row r="474" spans="1:4">
      <c r="A474" s="5">
        <v>45406</v>
      </c>
      <c r="B474" s="6" t="s">
        <v>50</v>
      </c>
      <c r="C474" s="6">
        <v>28045.15555815573</v>
      </c>
      <c r="D474" s="6">
        <v>27313.73611016944</v>
      </c>
    </row>
    <row r="475" spans="1:4">
      <c r="A475" s="5">
        <v>45406</v>
      </c>
      <c r="B475" s="6" t="s">
        <v>51</v>
      </c>
      <c r="C475" s="6">
        <v>29088.73011518994</v>
      </c>
      <c r="D475" s="6">
        <v>26486.39934295371</v>
      </c>
    </row>
    <row r="476" spans="1:4">
      <c r="A476" s="5">
        <v>45406</v>
      </c>
      <c r="B476" s="6" t="s">
        <v>52</v>
      </c>
      <c r="C476" s="6">
        <v>24445.54347347725</v>
      </c>
      <c r="D476" s="6">
        <v>23078.62091718415</v>
      </c>
    </row>
    <row r="477" spans="1:4">
      <c r="A477" s="5">
        <v>45406</v>
      </c>
      <c r="B477" s="6" t="s">
        <v>53</v>
      </c>
      <c r="C477" s="6">
        <v>25093.81359074706</v>
      </c>
      <c r="D477" s="6">
        <v>22558.86248770573</v>
      </c>
    </row>
    <row r="478" spans="1:4">
      <c r="A478" s="5">
        <v>45406</v>
      </c>
      <c r="B478" s="6" t="s">
        <v>54</v>
      </c>
      <c r="C478" s="6">
        <v>28648.18481857071</v>
      </c>
      <c r="D478" s="6">
        <v>26453.76637389893</v>
      </c>
    </row>
    <row r="479" spans="1:4">
      <c r="A479" s="5">
        <v>45406</v>
      </c>
      <c r="B479" s="6" t="s">
        <v>55</v>
      </c>
      <c r="C479" s="6">
        <v>28087.26793683431</v>
      </c>
      <c r="D479" s="6">
        <v>25446.4977351488</v>
      </c>
    </row>
    <row r="480" spans="1:4">
      <c r="A480" s="5">
        <v>45406</v>
      </c>
      <c r="B480" s="6" t="s">
        <v>56</v>
      </c>
      <c r="C480" s="6">
        <v>27694.85587725477</v>
      </c>
      <c r="D480" s="6">
        <v>26074.89710884813</v>
      </c>
    </row>
    <row r="481" spans="1:4">
      <c r="A481" s="5">
        <v>45406</v>
      </c>
      <c r="B481" s="6" t="s">
        <v>57</v>
      </c>
      <c r="C481" s="6">
        <v>27288.94145046972</v>
      </c>
      <c r="D481" s="6">
        <v>24327.89824020727</v>
      </c>
    </row>
    <row r="482" spans="1:4">
      <c r="A482" s="5">
        <v>45406</v>
      </c>
      <c r="B482" s="6" t="s">
        <v>58</v>
      </c>
      <c r="C482" s="6">
        <v>22810.36325671963</v>
      </c>
      <c r="D482" s="6">
        <v>22635.23531812089</v>
      </c>
    </row>
    <row r="483" spans="1:4">
      <c r="A483" s="5">
        <v>45406</v>
      </c>
      <c r="B483" s="6" t="s">
        <v>59</v>
      </c>
      <c r="C483" s="6">
        <v>24537.19156891733</v>
      </c>
      <c r="D483" s="6">
        <v>24050.27394232363</v>
      </c>
    </row>
    <row r="484" spans="1:4">
      <c r="A484" s="5">
        <v>45407</v>
      </c>
      <c r="B484" s="6" t="s">
        <v>40</v>
      </c>
      <c r="C484" s="6">
        <v>24668.39135318963</v>
      </c>
      <c r="D484" s="6">
        <v>23876.33929886763</v>
      </c>
    </row>
    <row r="485" spans="1:4">
      <c r="A485" s="5">
        <v>45407</v>
      </c>
      <c r="B485" s="6" t="s">
        <v>41</v>
      </c>
      <c r="C485" s="6">
        <v>26689.75788617249</v>
      </c>
      <c r="D485" s="6">
        <v>25385.57837425765</v>
      </c>
    </row>
    <row r="486" spans="1:4">
      <c r="A486" s="5">
        <v>45407</v>
      </c>
      <c r="B486" s="6" t="s">
        <v>42</v>
      </c>
      <c r="C486" s="6">
        <v>24734.96085749221</v>
      </c>
      <c r="D486" s="6">
        <v>23316.96917078257</v>
      </c>
    </row>
    <row r="487" spans="1:4">
      <c r="A487" s="5">
        <v>45407</v>
      </c>
      <c r="B487" s="6" t="s">
        <v>43</v>
      </c>
      <c r="C487" s="6">
        <v>27089.54603220907</v>
      </c>
      <c r="D487" s="6">
        <v>23323.84393968233</v>
      </c>
    </row>
    <row r="488" spans="1:4">
      <c r="A488" s="5">
        <v>45407</v>
      </c>
      <c r="B488" s="6" t="s">
        <v>44</v>
      </c>
      <c r="C488" s="6">
        <v>28268.53099776191</v>
      </c>
      <c r="D488" s="6">
        <v>26011.9736873646</v>
      </c>
    </row>
    <row r="489" spans="1:4">
      <c r="A489" s="5">
        <v>45407</v>
      </c>
      <c r="B489" s="6" t="s">
        <v>45</v>
      </c>
      <c r="C489" s="6">
        <v>28377.80609496354</v>
      </c>
      <c r="D489" s="6">
        <v>26613.62596358289</v>
      </c>
    </row>
    <row r="490" spans="1:4">
      <c r="A490" s="5">
        <v>45407</v>
      </c>
      <c r="B490" s="6" t="s">
        <v>46</v>
      </c>
      <c r="C490" s="6">
        <v>23954.31538669397</v>
      </c>
      <c r="D490" s="6">
        <v>21389.17615048747</v>
      </c>
    </row>
    <row r="491" spans="1:4">
      <c r="A491" s="5">
        <v>45407</v>
      </c>
      <c r="B491" s="6" t="s">
        <v>47</v>
      </c>
      <c r="C491" s="6">
        <v>22627.03185838995</v>
      </c>
      <c r="D491" s="6">
        <v>21242.00344534928</v>
      </c>
    </row>
    <row r="492" spans="1:4">
      <c r="A492" s="5">
        <v>45407</v>
      </c>
      <c r="B492" s="6" t="s">
        <v>48</v>
      </c>
      <c r="C492" s="6">
        <v>28839.70525928657</v>
      </c>
      <c r="D492" s="6">
        <v>28254.96277065927</v>
      </c>
    </row>
    <row r="493" spans="1:4">
      <c r="A493" s="5">
        <v>45407</v>
      </c>
      <c r="B493" s="6" t="s">
        <v>49</v>
      </c>
      <c r="C493" s="6">
        <v>26243.61048117645</v>
      </c>
      <c r="D493" s="6">
        <v>23408.52038861615</v>
      </c>
    </row>
    <row r="494" spans="1:4">
      <c r="A494" s="5">
        <v>45407</v>
      </c>
      <c r="B494" s="6" t="s">
        <v>50</v>
      </c>
      <c r="C494" s="6">
        <v>27323.04310067104</v>
      </c>
      <c r="D494" s="6">
        <v>26363.77513668622</v>
      </c>
    </row>
    <row r="495" spans="1:4">
      <c r="A495" s="5">
        <v>45407</v>
      </c>
      <c r="B495" s="6" t="s">
        <v>51</v>
      </c>
      <c r="C495" s="6">
        <v>29301.07357559605</v>
      </c>
      <c r="D495" s="6">
        <v>29213.88915759637</v>
      </c>
    </row>
    <row r="496" spans="1:4">
      <c r="A496" s="5">
        <v>45407</v>
      </c>
      <c r="B496" s="6" t="s">
        <v>52</v>
      </c>
      <c r="C496" s="6">
        <v>22980.34039061275</v>
      </c>
      <c r="D496" s="6">
        <v>21287.77320861948</v>
      </c>
    </row>
    <row r="497" spans="1:4">
      <c r="A497" s="5">
        <v>45407</v>
      </c>
      <c r="B497" s="6" t="s">
        <v>53</v>
      </c>
      <c r="C497" s="6">
        <v>23704.8127208765</v>
      </c>
      <c r="D497" s="6">
        <v>21463.80787643238</v>
      </c>
    </row>
    <row r="498" spans="1:4">
      <c r="A498" s="5">
        <v>45407</v>
      </c>
      <c r="B498" s="6" t="s">
        <v>54</v>
      </c>
      <c r="C498" s="6">
        <v>27635.64517479281</v>
      </c>
      <c r="D498" s="6">
        <v>24715.26279957279</v>
      </c>
    </row>
    <row r="499" spans="1:4">
      <c r="A499" s="5">
        <v>45407</v>
      </c>
      <c r="B499" s="6" t="s">
        <v>55</v>
      </c>
      <c r="C499" s="6">
        <v>25168.01291915196</v>
      </c>
      <c r="D499" s="6">
        <v>22530.48581799594</v>
      </c>
    </row>
    <row r="500" spans="1:4">
      <c r="A500" s="5">
        <v>45407</v>
      </c>
      <c r="B500" s="6" t="s">
        <v>56</v>
      </c>
      <c r="C500" s="6">
        <v>28563.60120260037</v>
      </c>
      <c r="D500" s="6">
        <v>25555.07532177241</v>
      </c>
    </row>
    <row r="501" spans="1:4">
      <c r="A501" s="5">
        <v>45407</v>
      </c>
      <c r="B501" s="6" t="s">
        <v>57</v>
      </c>
      <c r="C501" s="6">
        <v>29300.3875043286</v>
      </c>
      <c r="D501" s="6">
        <v>27966.11668904304</v>
      </c>
    </row>
    <row r="502" spans="1:4">
      <c r="A502" s="5">
        <v>45407</v>
      </c>
      <c r="B502" s="6" t="s">
        <v>58</v>
      </c>
      <c r="C502" s="6">
        <v>23963.97776595552</v>
      </c>
      <c r="D502" s="6">
        <v>21606.97114460727</v>
      </c>
    </row>
    <row r="503" spans="1:4">
      <c r="A503" s="5">
        <v>45407</v>
      </c>
      <c r="B503" s="6" t="s">
        <v>59</v>
      </c>
      <c r="C503" s="6">
        <v>24915.58146269327</v>
      </c>
      <c r="D503" s="6">
        <v>23679.66464061536</v>
      </c>
    </row>
    <row r="504" spans="1:4">
      <c r="A504" s="5">
        <v>45408</v>
      </c>
      <c r="B504" s="6" t="s">
        <v>40</v>
      </c>
      <c r="C504" s="6">
        <v>22769.36799748418</v>
      </c>
      <c r="D504" s="6">
        <v>21034.33336293505</v>
      </c>
    </row>
    <row r="505" spans="1:4">
      <c r="A505" s="5">
        <v>45408</v>
      </c>
      <c r="B505" s="6" t="s">
        <v>41</v>
      </c>
      <c r="C505" s="6">
        <v>27426.86097782133</v>
      </c>
      <c r="D505" s="6">
        <v>24872.71114437547</v>
      </c>
    </row>
    <row r="506" spans="1:4">
      <c r="A506" s="5">
        <v>45408</v>
      </c>
      <c r="B506" s="6" t="s">
        <v>42</v>
      </c>
      <c r="C506" s="6">
        <v>24811.72142992401</v>
      </c>
      <c r="D506" s="6">
        <v>22087.79400471568</v>
      </c>
    </row>
    <row r="507" spans="1:4">
      <c r="A507" s="5">
        <v>45408</v>
      </c>
      <c r="B507" s="6" t="s">
        <v>43</v>
      </c>
      <c r="C507" s="6">
        <v>25035.77879470204</v>
      </c>
      <c r="D507" s="6">
        <v>23361.36688340278</v>
      </c>
    </row>
    <row r="508" spans="1:4">
      <c r="A508" s="5">
        <v>45408</v>
      </c>
      <c r="B508" s="6" t="s">
        <v>44</v>
      </c>
      <c r="C508" s="6">
        <v>28778.24701958202</v>
      </c>
      <c r="D508" s="6">
        <v>25329.62339026468</v>
      </c>
    </row>
    <row r="509" spans="1:4">
      <c r="A509" s="5">
        <v>45408</v>
      </c>
      <c r="B509" s="6" t="s">
        <v>45</v>
      </c>
      <c r="C509" s="6">
        <v>30804.05374454047</v>
      </c>
      <c r="D509" s="6">
        <v>27214.73975963287</v>
      </c>
    </row>
    <row r="510" spans="1:4">
      <c r="A510" s="5">
        <v>45408</v>
      </c>
      <c r="B510" s="6" t="s">
        <v>46</v>
      </c>
      <c r="C510" s="6">
        <v>24918.78244610312</v>
      </c>
      <c r="D510" s="6">
        <v>22777.7527918631</v>
      </c>
    </row>
    <row r="511" spans="1:4">
      <c r="A511" s="5">
        <v>45408</v>
      </c>
      <c r="B511" s="6" t="s">
        <v>47</v>
      </c>
      <c r="C511" s="6">
        <v>26180.39612225674</v>
      </c>
      <c r="D511" s="6">
        <v>22996.49074479196</v>
      </c>
    </row>
    <row r="512" spans="1:4">
      <c r="A512" s="5">
        <v>45408</v>
      </c>
      <c r="B512" s="6" t="s">
        <v>48</v>
      </c>
      <c r="C512" s="6">
        <v>24843.82336268713</v>
      </c>
      <c r="D512" s="6">
        <v>24249.46630339656</v>
      </c>
    </row>
    <row r="513" spans="1:4">
      <c r="A513" s="5">
        <v>45408</v>
      </c>
      <c r="B513" s="6" t="s">
        <v>49</v>
      </c>
      <c r="C513" s="6">
        <v>26715.35472693978</v>
      </c>
      <c r="D513" s="6">
        <v>26839.15091782473</v>
      </c>
    </row>
    <row r="514" spans="1:4">
      <c r="A514" s="5">
        <v>45408</v>
      </c>
      <c r="B514" s="6" t="s">
        <v>50</v>
      </c>
      <c r="C514" s="6">
        <v>28547.8505842473</v>
      </c>
      <c r="D514" s="6">
        <v>27878.52688246626</v>
      </c>
    </row>
    <row r="515" spans="1:4">
      <c r="A515" s="5">
        <v>45408</v>
      </c>
      <c r="B515" s="6" t="s">
        <v>51</v>
      </c>
      <c r="C515" s="6">
        <v>30322.4518333482</v>
      </c>
      <c r="D515" s="6">
        <v>25946.10695642003</v>
      </c>
    </row>
    <row r="516" spans="1:4">
      <c r="A516" s="5">
        <v>45408</v>
      </c>
      <c r="B516" s="6" t="s">
        <v>52</v>
      </c>
      <c r="C516" s="6">
        <v>22562.79703630669</v>
      </c>
      <c r="D516" s="6">
        <v>20112.64248787518</v>
      </c>
    </row>
    <row r="517" spans="1:4">
      <c r="A517" s="5">
        <v>45408</v>
      </c>
      <c r="B517" s="6" t="s">
        <v>53</v>
      </c>
      <c r="C517" s="6">
        <v>23925.06333581794</v>
      </c>
      <c r="D517" s="6">
        <v>23872.64969961088</v>
      </c>
    </row>
    <row r="518" spans="1:4">
      <c r="A518" s="5">
        <v>45408</v>
      </c>
      <c r="B518" s="6" t="s">
        <v>54</v>
      </c>
      <c r="C518" s="6">
        <v>23879.49351257565</v>
      </c>
      <c r="D518" s="6">
        <v>20507.33734755521</v>
      </c>
    </row>
    <row r="519" spans="1:4">
      <c r="A519" s="5">
        <v>45408</v>
      </c>
      <c r="B519" s="6" t="s">
        <v>55</v>
      </c>
      <c r="C519" s="6">
        <v>25316.51477757125</v>
      </c>
      <c r="D519" s="6">
        <v>22526.80397885862</v>
      </c>
    </row>
    <row r="520" spans="1:4">
      <c r="A520" s="5">
        <v>45408</v>
      </c>
      <c r="B520" s="6" t="s">
        <v>56</v>
      </c>
      <c r="C520" s="6">
        <v>29736.51863436716</v>
      </c>
      <c r="D520" s="6">
        <v>27921.56273827584</v>
      </c>
    </row>
    <row r="521" spans="1:4">
      <c r="A521" s="5">
        <v>45408</v>
      </c>
      <c r="B521" s="6" t="s">
        <v>57</v>
      </c>
      <c r="C521" s="6">
        <v>27785.25636056063</v>
      </c>
      <c r="D521" s="6">
        <v>25189.81950272769</v>
      </c>
    </row>
    <row r="522" spans="1:4">
      <c r="A522" s="5">
        <v>45408</v>
      </c>
      <c r="B522" s="6" t="s">
        <v>58</v>
      </c>
      <c r="C522" s="6">
        <v>24346.05416633979</v>
      </c>
      <c r="D522" s="6">
        <v>24451.4963407861</v>
      </c>
    </row>
    <row r="523" spans="1:4">
      <c r="A523" s="5">
        <v>45408</v>
      </c>
      <c r="B523" s="6" t="s">
        <v>59</v>
      </c>
      <c r="C523" s="6">
        <v>26587.64724815109</v>
      </c>
      <c r="D523" s="6">
        <v>25107.41679081789</v>
      </c>
    </row>
    <row r="524" spans="1:4">
      <c r="A524" s="5">
        <v>45409</v>
      </c>
      <c r="B524" s="6" t="s">
        <v>40</v>
      </c>
      <c r="C524" s="6">
        <v>24961.16049312254</v>
      </c>
      <c r="D524" s="6">
        <v>23687.65532085275</v>
      </c>
    </row>
    <row r="525" spans="1:4">
      <c r="A525" s="5">
        <v>45409</v>
      </c>
      <c r="B525" s="6" t="s">
        <v>41</v>
      </c>
      <c r="C525" s="6">
        <v>25059.37367064083</v>
      </c>
      <c r="D525" s="6">
        <v>21796.17669378782</v>
      </c>
    </row>
    <row r="526" spans="1:4">
      <c r="A526" s="5">
        <v>45409</v>
      </c>
      <c r="B526" s="6" t="s">
        <v>42</v>
      </c>
      <c r="C526" s="6">
        <v>26808.1459529215</v>
      </c>
      <c r="D526" s="6">
        <v>24995.26660174127</v>
      </c>
    </row>
    <row r="527" spans="1:4">
      <c r="A527" s="5">
        <v>45409</v>
      </c>
      <c r="B527" s="6" t="s">
        <v>43</v>
      </c>
      <c r="C527" s="6">
        <v>26665.48734115865</v>
      </c>
      <c r="D527" s="6">
        <v>24968.77381830653</v>
      </c>
    </row>
    <row r="528" spans="1:4">
      <c r="A528" s="5">
        <v>45409</v>
      </c>
      <c r="B528" s="6" t="s">
        <v>44</v>
      </c>
      <c r="C528" s="6">
        <v>28316.71047384224</v>
      </c>
      <c r="D528" s="6">
        <v>25701.42225724217</v>
      </c>
    </row>
    <row r="529" spans="1:4">
      <c r="A529" s="5">
        <v>45409</v>
      </c>
      <c r="B529" s="6" t="s">
        <v>45</v>
      </c>
      <c r="C529" s="6">
        <v>27713.93722614309</v>
      </c>
      <c r="D529" s="6">
        <v>25133.34941749012</v>
      </c>
    </row>
    <row r="530" spans="1:4">
      <c r="A530" s="5">
        <v>45409</v>
      </c>
      <c r="B530" s="6" t="s">
        <v>46</v>
      </c>
      <c r="C530" s="6">
        <v>24196.55585920532</v>
      </c>
      <c r="D530" s="6">
        <v>22025.02534346367</v>
      </c>
    </row>
    <row r="531" spans="1:4">
      <c r="A531" s="5">
        <v>45409</v>
      </c>
      <c r="B531" s="6" t="s">
        <v>47</v>
      </c>
      <c r="C531" s="6">
        <v>22328.13985067337</v>
      </c>
      <c r="D531" s="6">
        <v>20047.86299632242</v>
      </c>
    </row>
    <row r="532" spans="1:4">
      <c r="A532" s="5">
        <v>45409</v>
      </c>
      <c r="B532" s="6" t="s">
        <v>48</v>
      </c>
      <c r="C532" s="6">
        <v>27505.99470825948</v>
      </c>
      <c r="D532" s="6">
        <v>26506.8958442765</v>
      </c>
    </row>
    <row r="533" spans="1:4">
      <c r="A533" s="5">
        <v>45409</v>
      </c>
      <c r="B533" s="6" t="s">
        <v>49</v>
      </c>
      <c r="C533" s="6">
        <v>25499.86565981961</v>
      </c>
      <c r="D533" s="6">
        <v>23507.27198451319</v>
      </c>
    </row>
    <row r="534" spans="1:4">
      <c r="A534" s="5">
        <v>45409</v>
      </c>
      <c r="B534" s="6" t="s">
        <v>50</v>
      </c>
      <c r="C534" s="6">
        <v>26288.39236774139</v>
      </c>
      <c r="D534" s="6">
        <v>21663.43441955081</v>
      </c>
    </row>
    <row r="535" spans="1:4">
      <c r="A535" s="5">
        <v>45409</v>
      </c>
      <c r="B535" s="6" t="s">
        <v>51</v>
      </c>
      <c r="C535" s="6">
        <v>28877.11448363392</v>
      </c>
      <c r="D535" s="6">
        <v>25072.75127982909</v>
      </c>
    </row>
    <row r="536" spans="1:4">
      <c r="A536" s="5">
        <v>45409</v>
      </c>
      <c r="B536" s="6" t="s">
        <v>52</v>
      </c>
      <c r="C536" s="6">
        <v>24589.94467531974</v>
      </c>
      <c r="D536" s="6">
        <v>22621.7513100881</v>
      </c>
    </row>
    <row r="537" spans="1:4">
      <c r="A537" s="5">
        <v>45409</v>
      </c>
      <c r="B537" s="6" t="s">
        <v>53</v>
      </c>
      <c r="C537" s="6">
        <v>23087.40262808708</v>
      </c>
      <c r="D537" s="6">
        <v>22700.74333083023</v>
      </c>
    </row>
    <row r="538" spans="1:4">
      <c r="A538" s="5">
        <v>45409</v>
      </c>
      <c r="B538" s="6" t="s">
        <v>54</v>
      </c>
      <c r="C538" s="6">
        <v>27802.6872947048</v>
      </c>
      <c r="D538" s="6">
        <v>25947.41007600173</v>
      </c>
    </row>
    <row r="539" spans="1:4">
      <c r="A539" s="5">
        <v>45409</v>
      </c>
      <c r="B539" s="6" t="s">
        <v>55</v>
      </c>
      <c r="C539" s="6">
        <v>26518.01099281523</v>
      </c>
      <c r="D539" s="6">
        <v>24781.38909533574</v>
      </c>
    </row>
    <row r="540" spans="1:4">
      <c r="A540" s="5">
        <v>45409</v>
      </c>
      <c r="B540" s="6" t="s">
        <v>56</v>
      </c>
      <c r="C540" s="6">
        <v>27804.31058772159</v>
      </c>
      <c r="D540" s="6">
        <v>25414.23826787415</v>
      </c>
    </row>
    <row r="541" spans="1:4">
      <c r="A541" s="5">
        <v>45409</v>
      </c>
      <c r="B541" s="6" t="s">
        <v>57</v>
      </c>
      <c r="C541" s="6">
        <v>29606.08316187202</v>
      </c>
      <c r="D541" s="6">
        <v>27328.85991361964</v>
      </c>
    </row>
    <row r="542" spans="1:4">
      <c r="A542" s="5">
        <v>45409</v>
      </c>
      <c r="B542" s="6" t="s">
        <v>58</v>
      </c>
      <c r="C542" s="6">
        <v>25171.56235679181</v>
      </c>
      <c r="D542" s="6">
        <v>22672.46318398188</v>
      </c>
    </row>
    <row r="543" spans="1:4">
      <c r="A543" s="5">
        <v>45409</v>
      </c>
      <c r="B543" s="6" t="s">
        <v>59</v>
      </c>
      <c r="C543" s="6">
        <v>27903.31241047881</v>
      </c>
      <c r="D543" s="6">
        <v>24035.38080929917</v>
      </c>
    </row>
    <row r="544" spans="1:4">
      <c r="A544" s="5">
        <v>45410</v>
      </c>
      <c r="B544" s="6" t="s">
        <v>40</v>
      </c>
      <c r="C544" s="6">
        <v>24460.37236083461</v>
      </c>
      <c r="D544" s="6">
        <v>21775.09543970012</v>
      </c>
    </row>
    <row r="545" spans="1:4">
      <c r="A545" s="5">
        <v>45410</v>
      </c>
      <c r="B545" s="6" t="s">
        <v>41</v>
      </c>
      <c r="C545" s="6">
        <v>24165.4975634847</v>
      </c>
      <c r="D545" s="6">
        <v>22158.93776006173</v>
      </c>
    </row>
    <row r="546" spans="1:4">
      <c r="A546" s="5">
        <v>45410</v>
      </c>
      <c r="B546" s="6" t="s">
        <v>42</v>
      </c>
      <c r="C546" s="6">
        <v>27707.20291671874</v>
      </c>
      <c r="D546" s="6">
        <v>25365.61243813935</v>
      </c>
    </row>
    <row r="547" spans="1:4">
      <c r="A547" s="5">
        <v>45410</v>
      </c>
      <c r="B547" s="6" t="s">
        <v>43</v>
      </c>
      <c r="C547" s="6">
        <v>28529.67537011755</v>
      </c>
      <c r="D547" s="6">
        <v>27347.00963544586</v>
      </c>
    </row>
    <row r="548" spans="1:4">
      <c r="A548" s="5">
        <v>45410</v>
      </c>
      <c r="B548" s="6" t="s">
        <v>44</v>
      </c>
      <c r="C548" s="6">
        <v>27845.0843037173</v>
      </c>
      <c r="D548" s="6">
        <v>25158.54916375631</v>
      </c>
    </row>
    <row r="549" spans="1:4">
      <c r="A549" s="5">
        <v>45410</v>
      </c>
      <c r="B549" s="6" t="s">
        <v>45</v>
      </c>
      <c r="C549" s="6">
        <v>28131.72760650731</v>
      </c>
      <c r="D549" s="6">
        <v>27032.74234586718</v>
      </c>
    </row>
    <row r="550" spans="1:4">
      <c r="A550" s="5">
        <v>45410</v>
      </c>
      <c r="B550" s="6" t="s">
        <v>46</v>
      </c>
      <c r="C550" s="6">
        <v>26491.7733229422</v>
      </c>
      <c r="D550" s="6">
        <v>24996.70114986623</v>
      </c>
    </row>
    <row r="551" spans="1:4">
      <c r="A551" s="5">
        <v>45410</v>
      </c>
      <c r="B551" s="6" t="s">
        <v>47</v>
      </c>
      <c r="C551" s="6">
        <v>26914.44452733577</v>
      </c>
      <c r="D551" s="6">
        <v>25656.69095518424</v>
      </c>
    </row>
    <row r="552" spans="1:4">
      <c r="A552" s="5">
        <v>45410</v>
      </c>
      <c r="B552" s="6" t="s">
        <v>48</v>
      </c>
      <c r="C552" s="6">
        <v>27836.41176002472</v>
      </c>
      <c r="D552" s="6">
        <v>27277.71032525488</v>
      </c>
    </row>
    <row r="553" spans="1:4">
      <c r="A553" s="5">
        <v>45410</v>
      </c>
      <c r="B553" s="6" t="s">
        <v>49</v>
      </c>
      <c r="C553" s="6">
        <v>27759.50425436243</v>
      </c>
      <c r="D553" s="6">
        <v>24318.5247760235</v>
      </c>
    </row>
    <row r="554" spans="1:4">
      <c r="A554" s="5">
        <v>45410</v>
      </c>
      <c r="B554" s="6" t="s">
        <v>50</v>
      </c>
      <c r="C554" s="6">
        <v>27718.13403099371</v>
      </c>
      <c r="D554" s="6">
        <v>26160.54126746663</v>
      </c>
    </row>
    <row r="555" spans="1:4">
      <c r="A555" s="5">
        <v>45410</v>
      </c>
      <c r="B555" s="6" t="s">
        <v>51</v>
      </c>
      <c r="C555" s="6">
        <v>28840.53261274516</v>
      </c>
      <c r="D555" s="6">
        <v>27385.94773368507</v>
      </c>
    </row>
    <row r="556" spans="1:4">
      <c r="A556" s="5">
        <v>45410</v>
      </c>
      <c r="B556" s="6" t="s">
        <v>52</v>
      </c>
      <c r="C556" s="6">
        <v>25708.88755497891</v>
      </c>
      <c r="D556" s="6">
        <v>24866.93520414809</v>
      </c>
    </row>
    <row r="557" spans="1:4">
      <c r="A557" s="5">
        <v>45410</v>
      </c>
      <c r="B557" s="6" t="s">
        <v>53</v>
      </c>
      <c r="C557" s="6">
        <v>24783.55281774382</v>
      </c>
      <c r="D557" s="6">
        <v>22098.29450932271</v>
      </c>
    </row>
    <row r="558" spans="1:4">
      <c r="A558" s="5">
        <v>45410</v>
      </c>
      <c r="B558" s="6" t="s">
        <v>54</v>
      </c>
      <c r="C558" s="6">
        <v>27139.65482692865</v>
      </c>
      <c r="D558" s="6">
        <v>25061.9411333842</v>
      </c>
    </row>
    <row r="559" spans="1:4">
      <c r="A559" s="5">
        <v>45410</v>
      </c>
      <c r="B559" s="6" t="s">
        <v>55</v>
      </c>
      <c r="C559" s="6">
        <v>28007.21426501085</v>
      </c>
      <c r="D559" s="6">
        <v>26133.37784134792</v>
      </c>
    </row>
    <row r="560" spans="1:4">
      <c r="A560" s="5">
        <v>45410</v>
      </c>
      <c r="B560" s="6" t="s">
        <v>56</v>
      </c>
      <c r="C560" s="6">
        <v>27543.03258808431</v>
      </c>
      <c r="D560" s="6">
        <v>26782.28684688618</v>
      </c>
    </row>
    <row r="561" spans="1:4">
      <c r="A561" s="5">
        <v>45410</v>
      </c>
      <c r="B561" s="6" t="s">
        <v>57</v>
      </c>
      <c r="C561" s="6">
        <v>28908.93374388666</v>
      </c>
      <c r="D561" s="6">
        <v>26758.97164794137</v>
      </c>
    </row>
    <row r="562" spans="1:4">
      <c r="A562" s="5">
        <v>45410</v>
      </c>
      <c r="B562" s="6" t="s">
        <v>58</v>
      </c>
      <c r="C562" s="6">
        <v>27150.16615260503</v>
      </c>
      <c r="D562" s="6">
        <v>23049.62630442881</v>
      </c>
    </row>
    <row r="563" spans="1:4">
      <c r="A563" s="5">
        <v>45410</v>
      </c>
      <c r="B563" s="6" t="s">
        <v>59</v>
      </c>
      <c r="C563" s="6">
        <v>22881.2853887835</v>
      </c>
      <c r="D563" s="6">
        <v>20614.77615170083</v>
      </c>
    </row>
    <row r="564" spans="1:4">
      <c r="A564" s="5">
        <v>45411</v>
      </c>
      <c r="B564" s="6" t="s">
        <v>40</v>
      </c>
      <c r="C564" s="6">
        <v>24892.73766776784</v>
      </c>
      <c r="D564" s="6">
        <v>21890.02679891876</v>
      </c>
    </row>
    <row r="565" spans="1:4">
      <c r="A565" s="5">
        <v>45411</v>
      </c>
      <c r="B565" s="6" t="s">
        <v>41</v>
      </c>
      <c r="C565" s="6">
        <v>24833.13270960138</v>
      </c>
      <c r="D565" s="6">
        <v>23002.32785050882</v>
      </c>
    </row>
    <row r="566" spans="1:4">
      <c r="A566" s="5">
        <v>45411</v>
      </c>
      <c r="B566" s="6" t="s">
        <v>42</v>
      </c>
      <c r="C566" s="6">
        <v>26227.01100841568</v>
      </c>
      <c r="D566" s="6">
        <v>23040.01276615247</v>
      </c>
    </row>
    <row r="567" spans="1:4">
      <c r="A567" s="5">
        <v>45411</v>
      </c>
      <c r="B567" s="6" t="s">
        <v>43</v>
      </c>
      <c r="C567" s="6">
        <v>27749.67789003579</v>
      </c>
      <c r="D567" s="6">
        <v>27277.82073408351</v>
      </c>
    </row>
    <row r="568" spans="1:4">
      <c r="A568" s="5">
        <v>45411</v>
      </c>
      <c r="B568" s="6" t="s">
        <v>44</v>
      </c>
      <c r="C568" s="6">
        <v>26712.71354665174</v>
      </c>
      <c r="D568" s="6">
        <v>24270.18559370019</v>
      </c>
    </row>
    <row r="569" spans="1:4">
      <c r="A569" s="5">
        <v>45411</v>
      </c>
      <c r="B569" s="6" t="s">
        <v>45</v>
      </c>
      <c r="C569" s="6">
        <v>27299.01746403928</v>
      </c>
      <c r="D569" s="6">
        <v>26235.49586468078</v>
      </c>
    </row>
    <row r="570" spans="1:4">
      <c r="A570" s="5">
        <v>45411</v>
      </c>
      <c r="B570" s="6" t="s">
        <v>46</v>
      </c>
      <c r="C570" s="6">
        <v>25488.6023424111</v>
      </c>
      <c r="D570" s="6">
        <v>22369.63723380368</v>
      </c>
    </row>
    <row r="571" spans="1:4">
      <c r="A571" s="5">
        <v>45411</v>
      </c>
      <c r="B571" s="6" t="s">
        <v>47</v>
      </c>
      <c r="C571" s="6">
        <v>27239.06272323859</v>
      </c>
      <c r="D571" s="6">
        <v>25980.00815186992</v>
      </c>
    </row>
    <row r="572" spans="1:4">
      <c r="A572" s="5">
        <v>45411</v>
      </c>
      <c r="B572" s="6" t="s">
        <v>48</v>
      </c>
      <c r="C572" s="6">
        <v>25165.16304229787</v>
      </c>
      <c r="D572" s="6">
        <v>20184.44640307636</v>
      </c>
    </row>
    <row r="573" spans="1:4">
      <c r="A573" s="5">
        <v>45411</v>
      </c>
      <c r="B573" s="6" t="s">
        <v>49</v>
      </c>
      <c r="C573" s="6">
        <v>27325.10073678852</v>
      </c>
      <c r="D573" s="6">
        <v>25721.67330556346</v>
      </c>
    </row>
    <row r="574" spans="1:4">
      <c r="A574" s="5">
        <v>45411</v>
      </c>
      <c r="B574" s="6" t="s">
        <v>50</v>
      </c>
      <c r="C574" s="6">
        <v>27129.42160521815</v>
      </c>
      <c r="D574" s="6">
        <v>25794.32300232061</v>
      </c>
    </row>
    <row r="575" spans="1:4">
      <c r="A575" s="5">
        <v>45411</v>
      </c>
      <c r="B575" s="6" t="s">
        <v>51</v>
      </c>
      <c r="C575" s="6">
        <v>29127.71950132272</v>
      </c>
      <c r="D575" s="6">
        <v>26040.76505371558</v>
      </c>
    </row>
    <row r="576" spans="1:4">
      <c r="A576" s="5">
        <v>45411</v>
      </c>
      <c r="B576" s="6" t="s">
        <v>52</v>
      </c>
      <c r="C576" s="6">
        <v>24142.90204529349</v>
      </c>
      <c r="D576" s="6">
        <v>22732.16173165267</v>
      </c>
    </row>
    <row r="577" spans="1:4">
      <c r="A577" s="5">
        <v>45411</v>
      </c>
      <c r="B577" s="6" t="s">
        <v>53</v>
      </c>
      <c r="C577" s="6">
        <v>25457.97528757632</v>
      </c>
      <c r="D577" s="6">
        <v>24566.45745282588</v>
      </c>
    </row>
    <row r="578" spans="1:4">
      <c r="A578" s="5">
        <v>45411</v>
      </c>
      <c r="B578" s="6" t="s">
        <v>54</v>
      </c>
      <c r="C578" s="6">
        <v>26510.9778079665</v>
      </c>
      <c r="D578" s="6">
        <v>25709.7819264688</v>
      </c>
    </row>
    <row r="579" spans="1:4">
      <c r="A579" s="5">
        <v>45411</v>
      </c>
      <c r="B579" s="6" t="s">
        <v>55</v>
      </c>
      <c r="C579" s="6">
        <v>27351.47177305084</v>
      </c>
      <c r="D579" s="6">
        <v>28113.43515514045</v>
      </c>
    </row>
    <row r="580" spans="1:4">
      <c r="A580" s="5">
        <v>45411</v>
      </c>
      <c r="B580" s="6" t="s">
        <v>56</v>
      </c>
      <c r="C580" s="6">
        <v>27905.0979725071</v>
      </c>
      <c r="D580" s="6">
        <v>26612.27691430627</v>
      </c>
    </row>
    <row r="581" spans="1:4">
      <c r="A581" s="5">
        <v>45411</v>
      </c>
      <c r="B581" s="6" t="s">
        <v>57</v>
      </c>
      <c r="C581" s="6">
        <v>28642.63341396128</v>
      </c>
      <c r="D581" s="6">
        <v>26234.3219135111</v>
      </c>
    </row>
    <row r="582" spans="1:4">
      <c r="A582" s="5">
        <v>45411</v>
      </c>
      <c r="B582" s="6" t="s">
        <v>58</v>
      </c>
      <c r="C582" s="6">
        <v>23936.55410799026</v>
      </c>
      <c r="D582" s="6">
        <v>20628.73999685238</v>
      </c>
    </row>
    <row r="583" spans="1:4">
      <c r="A583" s="5">
        <v>45411</v>
      </c>
      <c r="B583" s="6" t="s">
        <v>59</v>
      </c>
      <c r="C583" s="6">
        <v>25595.71038413881</v>
      </c>
      <c r="D583" s="6">
        <v>23330.4900023687</v>
      </c>
    </row>
    <row r="584" spans="1:4">
      <c r="A584" s="5">
        <v>45412</v>
      </c>
      <c r="B584" s="6" t="s">
        <v>40</v>
      </c>
      <c r="C584" s="6">
        <v>25275.05096931702</v>
      </c>
      <c r="D584" s="6">
        <v>23311.56890821165</v>
      </c>
    </row>
    <row r="585" spans="1:4">
      <c r="A585" s="5">
        <v>45412</v>
      </c>
      <c r="B585" s="6" t="s">
        <v>41</v>
      </c>
      <c r="C585" s="6">
        <v>24618.38201033837</v>
      </c>
      <c r="D585" s="6">
        <v>22312.55313740168</v>
      </c>
    </row>
    <row r="586" spans="1:4">
      <c r="A586" s="5">
        <v>45412</v>
      </c>
      <c r="B586" s="6" t="s">
        <v>42</v>
      </c>
      <c r="C586" s="6">
        <v>25876.33296002909</v>
      </c>
      <c r="D586" s="6">
        <v>24624.35612637446</v>
      </c>
    </row>
    <row r="587" spans="1:4">
      <c r="A587" s="5">
        <v>45412</v>
      </c>
      <c r="B587" s="6" t="s">
        <v>43</v>
      </c>
      <c r="C587" s="6">
        <v>26428.34965004718</v>
      </c>
      <c r="D587" s="6">
        <v>25628.36023455483</v>
      </c>
    </row>
    <row r="588" spans="1:4">
      <c r="A588" s="5">
        <v>45412</v>
      </c>
      <c r="B588" s="6" t="s">
        <v>44</v>
      </c>
      <c r="C588" s="6">
        <v>29765.91144289112</v>
      </c>
      <c r="D588" s="6">
        <v>28473.4792889081</v>
      </c>
    </row>
    <row r="589" spans="1:4">
      <c r="A589" s="5">
        <v>45412</v>
      </c>
      <c r="B589" s="6" t="s">
        <v>45</v>
      </c>
      <c r="C589" s="6">
        <v>30092.76366438378</v>
      </c>
      <c r="D589" s="6">
        <v>29754.37306854633</v>
      </c>
    </row>
    <row r="590" spans="1:4">
      <c r="A590" s="5">
        <v>45412</v>
      </c>
      <c r="B590" s="6" t="s">
        <v>46</v>
      </c>
      <c r="C590" s="6">
        <v>24039.8676915108</v>
      </c>
      <c r="D590" s="6">
        <v>22138.44303410376</v>
      </c>
    </row>
    <row r="591" spans="1:4">
      <c r="A591" s="5">
        <v>45412</v>
      </c>
      <c r="B591" s="6" t="s">
        <v>47</v>
      </c>
      <c r="C591" s="6">
        <v>27808.16205558269</v>
      </c>
      <c r="D591" s="6">
        <v>24635.04319267472</v>
      </c>
    </row>
    <row r="592" spans="1:4">
      <c r="A592" s="5">
        <v>45412</v>
      </c>
      <c r="B592" s="6" t="s">
        <v>48</v>
      </c>
      <c r="C592" s="6">
        <v>25302.60406279765</v>
      </c>
      <c r="D592" s="6">
        <v>21633.37103068955</v>
      </c>
    </row>
    <row r="593" spans="1:4">
      <c r="A593" s="5">
        <v>45412</v>
      </c>
      <c r="B593" s="6" t="s">
        <v>49</v>
      </c>
      <c r="C593" s="6">
        <v>30711.18303958725</v>
      </c>
      <c r="D593" s="6">
        <v>28644.1396028639</v>
      </c>
    </row>
    <row r="594" spans="1:4">
      <c r="A594" s="5">
        <v>45412</v>
      </c>
      <c r="B594" s="6" t="s">
        <v>50</v>
      </c>
      <c r="C594" s="6">
        <v>26196.60704070892</v>
      </c>
      <c r="D594" s="6">
        <v>23311.35802855117</v>
      </c>
    </row>
    <row r="595" spans="1:4">
      <c r="A595" s="5">
        <v>45412</v>
      </c>
      <c r="B595" s="6" t="s">
        <v>51</v>
      </c>
      <c r="C595" s="6">
        <v>27939.22598964612</v>
      </c>
      <c r="D595" s="6">
        <v>23478.57106977501</v>
      </c>
    </row>
    <row r="596" spans="1:4">
      <c r="A596" s="5">
        <v>45412</v>
      </c>
      <c r="B596" s="6" t="s">
        <v>52</v>
      </c>
      <c r="C596" s="6">
        <v>24586.37164064518</v>
      </c>
      <c r="D596" s="6">
        <v>21892.02431158577</v>
      </c>
    </row>
    <row r="597" spans="1:4">
      <c r="A597" s="5">
        <v>45412</v>
      </c>
      <c r="B597" s="6" t="s">
        <v>53</v>
      </c>
      <c r="C597" s="6">
        <v>26617.39282619248</v>
      </c>
      <c r="D597" s="6">
        <v>25717.31827318762</v>
      </c>
    </row>
    <row r="598" spans="1:4">
      <c r="A598" s="5">
        <v>45412</v>
      </c>
      <c r="B598" s="6" t="s">
        <v>54</v>
      </c>
      <c r="C598" s="6">
        <v>26536.61711349309</v>
      </c>
      <c r="D598" s="6">
        <v>24748.2390539538</v>
      </c>
    </row>
    <row r="599" spans="1:4">
      <c r="A599" s="5">
        <v>45412</v>
      </c>
      <c r="B599" s="6" t="s">
        <v>55</v>
      </c>
      <c r="C599" s="6">
        <v>28241.08569382104</v>
      </c>
      <c r="D599" s="6">
        <v>28276.05768822731</v>
      </c>
    </row>
    <row r="600" spans="1:4">
      <c r="A600" s="5">
        <v>45412</v>
      </c>
      <c r="B600" s="6" t="s">
        <v>56</v>
      </c>
      <c r="C600" s="6">
        <v>29707.86528947516</v>
      </c>
      <c r="D600" s="6">
        <v>26681.78685568544</v>
      </c>
    </row>
    <row r="601" spans="1:4">
      <c r="A601" s="5">
        <v>45412</v>
      </c>
      <c r="B601" s="6" t="s">
        <v>57</v>
      </c>
      <c r="C601" s="6">
        <v>28927.71595600704</v>
      </c>
      <c r="D601" s="6">
        <v>26546.47249846003</v>
      </c>
    </row>
    <row r="602" spans="1:4">
      <c r="A602" s="5">
        <v>45412</v>
      </c>
      <c r="B602" s="6" t="s">
        <v>58</v>
      </c>
      <c r="C602" s="6">
        <v>22374.92894058698</v>
      </c>
      <c r="D602" s="6">
        <v>18928.02376113259</v>
      </c>
    </row>
    <row r="603" spans="1:4">
      <c r="A603" s="5">
        <v>45412</v>
      </c>
      <c r="B603" s="6" t="s">
        <v>59</v>
      </c>
      <c r="C603" s="6">
        <v>25135.61993318404</v>
      </c>
      <c r="D603" s="6">
        <v>23660.97039820444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FormatPr defaultRowHeight="15"/>
  <cols>
    <col min="1" max="6" width="18.7109375" customWidth="1"/>
  </cols>
  <sheetData>
    <row r="1" spans="1:6" ht="22" customHeight="1">
      <c r="A1" s="1" t="s">
        <v>60</v>
      </c>
      <c r="B1" s="1"/>
      <c r="C1" s="1"/>
      <c r="D1" s="1"/>
      <c r="E1" s="1"/>
      <c r="F1" s="1"/>
    </row>
    <row r="2" spans="1:6">
      <c r="A2" s="3" t="s">
        <v>2</v>
      </c>
      <c r="B2" s="3" t="s">
        <v>61</v>
      </c>
      <c r="C2" s="3" t="s">
        <v>62</v>
      </c>
      <c r="D2" s="3" t="s">
        <v>63</v>
      </c>
      <c r="E2" s="3" t="s">
        <v>64</v>
      </c>
      <c r="F2" s="3" t="s">
        <v>65</v>
      </c>
    </row>
    <row r="3" spans="1:6">
      <c r="A3" t="s">
        <v>66</v>
      </c>
      <c r="B3" t="s">
        <v>67</v>
      </c>
      <c r="C3" t="s">
        <v>68</v>
      </c>
      <c r="D3" t="s">
        <v>40</v>
      </c>
      <c r="E3" t="s">
        <v>69</v>
      </c>
      <c r="F3" t="s">
        <v>70</v>
      </c>
    </row>
    <row r="4" spans="1:6">
      <c r="A4" t="s">
        <v>71</v>
      </c>
      <c r="B4" t="s">
        <v>72</v>
      </c>
      <c r="C4" t="s">
        <v>73</v>
      </c>
      <c r="D4" t="s">
        <v>41</v>
      </c>
      <c r="E4" t="s">
        <v>74</v>
      </c>
      <c r="F4" t="s">
        <v>75</v>
      </c>
    </row>
    <row r="5" spans="1:6">
      <c r="A5" t="s">
        <v>76</v>
      </c>
      <c r="B5" t="s">
        <v>77</v>
      </c>
      <c r="C5" t="s">
        <v>78</v>
      </c>
      <c r="D5" t="s">
        <v>42</v>
      </c>
      <c r="E5" t="s">
        <v>79</v>
      </c>
      <c r="F5" t="s">
        <v>80</v>
      </c>
    </row>
    <row r="6" spans="1:6">
      <c r="A6" t="s">
        <v>81</v>
      </c>
      <c r="B6" t="s">
        <v>82</v>
      </c>
      <c r="C6" t="s">
        <v>83</v>
      </c>
      <c r="D6" t="s">
        <v>43</v>
      </c>
      <c r="E6" t="s">
        <v>84</v>
      </c>
      <c r="F6" t="s">
        <v>85</v>
      </c>
    </row>
    <row r="7" spans="1:6">
      <c r="A7" t="s">
        <v>86</v>
      </c>
      <c r="B7" t="s">
        <v>87</v>
      </c>
      <c r="C7" t="s">
        <v>88</v>
      </c>
      <c r="D7" t="s">
        <v>44</v>
      </c>
      <c r="E7" t="s">
        <v>89</v>
      </c>
      <c r="F7" t="s">
        <v>90</v>
      </c>
    </row>
    <row r="8" spans="1:6">
      <c r="A8" t="s">
        <v>91</v>
      </c>
      <c r="B8" t="s">
        <v>92</v>
      </c>
      <c r="C8" t="s">
        <v>93</v>
      </c>
      <c r="D8" t="s">
        <v>45</v>
      </c>
      <c r="E8" t="s">
        <v>69</v>
      </c>
      <c r="F8" t="s">
        <v>94</v>
      </c>
    </row>
    <row r="9" spans="1:6">
      <c r="A9" t="s">
        <v>95</v>
      </c>
      <c r="B9" t="s">
        <v>96</v>
      </c>
      <c r="C9" t="s">
        <v>97</v>
      </c>
      <c r="D9" t="s">
        <v>46</v>
      </c>
      <c r="E9" t="s">
        <v>74</v>
      </c>
      <c r="F9" t="s">
        <v>98</v>
      </c>
    </row>
    <row r="10" spans="1:6">
      <c r="A10" t="s">
        <v>99</v>
      </c>
      <c r="B10" t="s">
        <v>100</v>
      </c>
      <c r="C10" t="s">
        <v>101</v>
      </c>
      <c r="D10" t="s">
        <v>47</v>
      </c>
      <c r="E10" t="s">
        <v>79</v>
      </c>
      <c r="F10" t="s">
        <v>102</v>
      </c>
    </row>
    <row r="11" spans="1:6">
      <c r="A11" t="s">
        <v>103</v>
      </c>
      <c r="B11" t="s">
        <v>104</v>
      </c>
      <c r="C11" t="s">
        <v>105</v>
      </c>
      <c r="D11" t="s">
        <v>48</v>
      </c>
      <c r="E11" t="s">
        <v>84</v>
      </c>
      <c r="F11" t="s">
        <v>106</v>
      </c>
    </row>
    <row r="12" spans="1:6">
      <c r="A12" t="s">
        <v>107</v>
      </c>
      <c r="B12" t="s">
        <v>108</v>
      </c>
      <c r="C12" t="s">
        <v>109</v>
      </c>
      <c r="D12" t="s">
        <v>49</v>
      </c>
      <c r="E12" t="s">
        <v>89</v>
      </c>
      <c r="F12" t="s">
        <v>110</v>
      </c>
    </row>
    <row r="13" spans="1:6">
      <c r="A13" t="s">
        <v>111</v>
      </c>
      <c r="B13" t="s">
        <v>112</v>
      </c>
      <c r="C13" t="s">
        <v>113</v>
      </c>
      <c r="D13" t="s">
        <v>50</v>
      </c>
      <c r="E13" t="s">
        <v>69</v>
      </c>
      <c r="F13" t="s">
        <v>114</v>
      </c>
    </row>
    <row r="14" spans="1:6">
      <c r="A14" t="s">
        <v>115</v>
      </c>
      <c r="B14" t="s">
        <v>116</v>
      </c>
      <c r="C14" t="s">
        <v>117</v>
      </c>
      <c r="D14" t="s">
        <v>51</v>
      </c>
      <c r="E14" t="s">
        <v>74</v>
      </c>
      <c r="F14" t="s">
        <v>118</v>
      </c>
    </row>
    <row r="15" spans="1:6">
      <c r="A15" t="s">
        <v>119</v>
      </c>
      <c r="B15" t="s">
        <v>120</v>
      </c>
      <c r="C15" t="s">
        <v>121</v>
      </c>
      <c r="D15" t="s">
        <v>52</v>
      </c>
      <c r="E15" t="s">
        <v>79</v>
      </c>
      <c r="F15" t="s">
        <v>122</v>
      </c>
    </row>
    <row r="16" spans="1:6">
      <c r="A16" t="s">
        <v>123</v>
      </c>
      <c r="B16" t="s">
        <v>124</v>
      </c>
      <c r="C16" t="s">
        <v>125</v>
      </c>
      <c r="D16" t="s">
        <v>53</v>
      </c>
      <c r="E16" t="s">
        <v>84</v>
      </c>
      <c r="F16" t="s">
        <v>126</v>
      </c>
    </row>
    <row r="17" spans="1:6">
      <c r="A17" t="s">
        <v>127</v>
      </c>
      <c r="B17" t="s">
        <v>128</v>
      </c>
      <c r="C17" t="s">
        <v>129</v>
      </c>
      <c r="D17" t="s">
        <v>54</v>
      </c>
      <c r="E17" t="s">
        <v>89</v>
      </c>
      <c r="F17" t="s">
        <v>130</v>
      </c>
    </row>
    <row r="18" spans="1:6">
      <c r="A18" t="s">
        <v>131</v>
      </c>
      <c r="B18" t="s">
        <v>132</v>
      </c>
      <c r="C18" t="s">
        <v>133</v>
      </c>
      <c r="D18" t="s">
        <v>55</v>
      </c>
      <c r="E18" t="s">
        <v>69</v>
      </c>
      <c r="F18" t="s">
        <v>134</v>
      </c>
    </row>
    <row r="19" spans="1:6">
      <c r="A19" t="s">
        <v>135</v>
      </c>
      <c r="B19" t="s">
        <v>136</v>
      </c>
      <c r="C19" t="s">
        <v>137</v>
      </c>
      <c r="D19" t="s">
        <v>56</v>
      </c>
      <c r="E19" t="s">
        <v>74</v>
      </c>
      <c r="F19" t="s">
        <v>138</v>
      </c>
    </row>
    <row r="20" spans="1:6">
      <c r="A20" t="s">
        <v>139</v>
      </c>
      <c r="B20" t="s">
        <v>140</v>
      </c>
      <c r="C20" t="s">
        <v>141</v>
      </c>
      <c r="D20" t="s">
        <v>57</v>
      </c>
      <c r="E20" t="s">
        <v>79</v>
      </c>
      <c r="F20" t="s">
        <v>142</v>
      </c>
    </row>
    <row r="21" spans="1:6">
      <c r="A21" t="s">
        <v>143</v>
      </c>
      <c r="B21" t="s">
        <v>144</v>
      </c>
      <c r="C21" t="s">
        <v>145</v>
      </c>
      <c r="D21" t="s">
        <v>58</v>
      </c>
      <c r="E21" t="s">
        <v>84</v>
      </c>
      <c r="F21" t="s">
        <v>146</v>
      </c>
    </row>
    <row r="22" spans="1:6">
      <c r="A22" t="s">
        <v>147</v>
      </c>
      <c r="B22" t="s">
        <v>148</v>
      </c>
      <c r="C22" t="s">
        <v>149</v>
      </c>
      <c r="D22" t="s">
        <v>59</v>
      </c>
      <c r="E22" t="s">
        <v>89</v>
      </c>
      <c r="F22" t="s">
        <v>150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Financier</vt:lpstr>
      <vt:lpstr>Operationnel</vt:lpstr>
      <vt:lpstr>Social</vt:lpstr>
      <vt:lpstr>Fintech</vt:lpstr>
      <vt:lpstr>Discipline</vt:lpstr>
      <vt:lpstr>KPI Hebdo</vt:lpstr>
      <vt:lpstr>Rapport Voitures</vt:lpstr>
      <vt:lpstr>Bénéficiaires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2026-07-01T18:55:40Z</dcterms:created>
  <dcterms:modified xsi:type="dcterms:W3CDTF">2026-07-01T18:55:40Z</dcterms:modified>
</cp:coreProperties>
</file>